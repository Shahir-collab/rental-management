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3a4f0836c8f26a/Desktop/rent/"/>
    </mc:Choice>
  </mc:AlternateContent>
  <xr:revisionPtr revIDLastSave="1" documentId="11_B3751EC842C6B2A23637018F468D613679945C1B" xr6:coauthVersionLast="47" xr6:coauthVersionMax="47" xr10:uidLastSave="{A9179206-A8F9-4B89-94F3-03B8276C3CEC}"/>
  <bookViews>
    <workbookView xWindow="-108" yWindow="-108" windowWidth="23256" windowHeight="14616" xr2:uid="{00000000-000D-0000-FFFF-FFFF00000000}"/>
  </bookViews>
  <sheets>
    <sheet name="Dashboard" sheetId="1" r:id="rId1"/>
    <sheet name="Tenant Master" sheetId="2" r:id="rId2"/>
    <sheet name="Units &amp; Building" sheetId="3" r:id="rId3"/>
    <sheet name="Residence History" sheetId="4" r:id="rId4"/>
    <sheet name="Rent Collection" sheetId="5" r:id="rId5"/>
    <sheet name="Rental Agreements" sheetId="6" r:id="rId6"/>
    <sheet name="Witness Records" sheetId="7" r:id="rId7"/>
    <sheet name="Deposits &amp; Advances" sheetId="8" r:id="rId8"/>
    <sheet name="Utilities &amp; Charges" sheetId="9" r:id="rId9"/>
    <sheet name="Building Expenses" sheetId="10" r:id="rId10"/>
    <sheet name="Tenant History Summary" sheetId="11" r:id="rId11"/>
    <sheet name="Data Review &amp; Issues" sheetId="12" r:id="rId12"/>
    <sheet name="RAW_RENT_DATA" sheetId="13" r:id="rId13"/>
    <sheet name="RAW_WITNESS_DATA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9" l="1"/>
  <c r="H4" i="9" s="1"/>
  <c r="M4" i="9" s="1"/>
  <c r="O4" i="9" s="1"/>
  <c r="F3" i="9"/>
  <c r="H3" i="9" s="1"/>
  <c r="M3" i="9" s="1"/>
  <c r="O3" i="9" s="1"/>
  <c r="F2" i="9"/>
  <c r="H2" i="9" s="1"/>
  <c r="M2" i="9" s="1"/>
  <c r="O2" i="9" s="1"/>
  <c r="Q4" i="5"/>
  <c r="K4" i="5"/>
  <c r="M4" i="5" s="1"/>
  <c r="Q3" i="5"/>
  <c r="K3" i="5"/>
  <c r="M3" i="5" s="1"/>
  <c r="Q2" i="5"/>
  <c r="K2" i="5"/>
  <c r="M2" i="5" s="1"/>
  <c r="Q14" i="4"/>
  <c r="P14" i="4"/>
  <c r="I14" i="4"/>
  <c r="K14" i="4" s="1"/>
  <c r="Q13" i="4"/>
  <c r="P13" i="4"/>
  <c r="J13" i="4"/>
  <c r="N13" i="4" s="1"/>
  <c r="I13" i="4"/>
  <c r="K13" i="4" s="1"/>
  <c r="Q12" i="4"/>
  <c r="P12" i="4"/>
  <c r="I12" i="4"/>
  <c r="K12" i="4" s="1"/>
  <c r="Q11" i="4"/>
  <c r="P11" i="4"/>
  <c r="I11" i="4"/>
  <c r="K11" i="4" s="1"/>
  <c r="Q10" i="4"/>
  <c r="P10" i="4"/>
  <c r="I10" i="4"/>
  <c r="K10" i="4" s="1"/>
  <c r="Q9" i="4"/>
  <c r="P9" i="4"/>
  <c r="J9" i="4"/>
  <c r="N9" i="4" s="1"/>
  <c r="I9" i="4"/>
  <c r="K9" i="4" s="1"/>
  <c r="Q8" i="4"/>
  <c r="P8" i="4"/>
  <c r="I8" i="4"/>
  <c r="K8" i="4" s="1"/>
  <c r="Q7" i="4"/>
  <c r="P7" i="4"/>
  <c r="I7" i="4"/>
  <c r="K7" i="4" s="1"/>
  <c r="Q6" i="4"/>
  <c r="P6" i="4"/>
  <c r="I6" i="4"/>
  <c r="K6" i="4" s="1"/>
  <c r="Q5" i="4"/>
  <c r="P5" i="4"/>
  <c r="J5" i="4"/>
  <c r="N5" i="4" s="1"/>
  <c r="I5" i="4"/>
  <c r="K5" i="4" s="1"/>
  <c r="Q4" i="4"/>
  <c r="P4" i="4"/>
  <c r="I4" i="4"/>
  <c r="K4" i="4" s="1"/>
  <c r="Q3" i="4"/>
  <c r="P3" i="4"/>
  <c r="I3" i="4"/>
  <c r="K3" i="4" s="1"/>
  <c r="Q2" i="4"/>
  <c r="P2" i="4"/>
  <c r="I2" i="4"/>
  <c r="K2" i="4" s="1"/>
  <c r="G35" i="1"/>
  <c r="F35" i="1"/>
  <c r="D35" i="1"/>
  <c r="G34" i="1"/>
  <c r="F34" i="1"/>
  <c r="D34" i="1"/>
  <c r="G33" i="1"/>
  <c r="F33" i="1"/>
  <c r="D33" i="1"/>
  <c r="G32" i="1"/>
  <c r="F32" i="1"/>
  <c r="D32" i="1"/>
  <c r="G31" i="1"/>
  <c r="F31" i="1"/>
  <c r="D31" i="1"/>
  <c r="G30" i="1"/>
  <c r="F30" i="1"/>
  <c r="D30" i="1"/>
  <c r="G29" i="1"/>
  <c r="F29" i="1"/>
  <c r="D29" i="1"/>
  <c r="G28" i="1"/>
  <c r="F28" i="1"/>
  <c r="D28" i="1"/>
  <c r="G27" i="1"/>
  <c r="F27" i="1"/>
  <c r="D27" i="1"/>
  <c r="G26" i="1"/>
  <c r="F26" i="1"/>
  <c r="D26" i="1"/>
  <c r="G25" i="1"/>
  <c r="F25" i="1"/>
  <c r="D25" i="1"/>
  <c r="G24" i="1"/>
  <c r="F24" i="1"/>
  <c r="D24" i="1"/>
  <c r="J3" i="4" l="1"/>
  <c r="N3" i="4" s="1"/>
  <c r="J7" i="4"/>
  <c r="N7" i="4" s="1"/>
  <c r="J11" i="4"/>
  <c r="N11" i="4" s="1"/>
  <c r="J4" i="4"/>
  <c r="N4" i="4" s="1"/>
  <c r="J8" i="4"/>
  <c r="N8" i="4" s="1"/>
  <c r="J12" i="4"/>
  <c r="N12" i="4" s="1"/>
  <c r="J2" i="4"/>
  <c r="N2" i="4" s="1"/>
  <c r="J6" i="4"/>
  <c r="N6" i="4" s="1"/>
  <c r="J10" i="4"/>
  <c r="N10" i="4" s="1"/>
  <c r="J14" i="4"/>
  <c r="N14" i="4" s="1"/>
</calcChain>
</file>

<file path=xl/sharedStrings.xml><?xml version="1.0" encoding="utf-8"?>
<sst xmlns="http://schemas.openxmlformats.org/spreadsheetml/2006/main" count="1343" uniqueCount="577">
  <si>
    <t>RENTAL PROPERTY MANAGEMENT — DASHBOARD</t>
  </si>
  <si>
    <t>Generated: 28-Aug-2026 20:37</t>
  </si>
  <si>
    <t>BUILDING OVERVIEW</t>
  </si>
  <si>
    <t>Total Units</t>
  </si>
  <si>
    <t>Occupied Units</t>
  </si>
  <si>
    <t>Vacant Units</t>
  </si>
  <si>
    <t>Occupancy %</t>
  </si>
  <si>
    <t>TENANT OVERVIEW</t>
  </si>
  <si>
    <t>Active Tenants (Current)</t>
  </si>
  <si>
    <t>Historical Tenants (Past)</t>
  </si>
  <si>
    <t>Total Unique Tenants</t>
  </si>
  <si>
    <t>FINANCIAL OVERVIEW</t>
  </si>
  <si>
    <t>Current Monthly Rent (Active)</t>
  </si>
  <si>
    <t>Total Deposits Held (Active)</t>
  </si>
  <si>
    <t>AGREEMENT OVERVIEW</t>
  </si>
  <si>
    <t>Active Agreements</t>
  </si>
  <si>
    <t>Expired Agreements</t>
  </si>
  <si>
    <t>Total Agreements</t>
  </si>
  <si>
    <t>Agreements Expiring Within 90 Days</t>
  </si>
  <si>
    <t>MONTHLY SUMMARY</t>
  </si>
  <si>
    <t>Month</t>
  </si>
  <si>
    <t>Total Rent Due</t>
  </si>
  <si>
    <t>Total Rent Collected</t>
  </si>
  <si>
    <t>Outstanding Rent</t>
  </si>
  <si>
    <t>Total Expenses</t>
  </si>
  <si>
    <t>Net Income</t>
  </si>
  <si>
    <t>Collection %</t>
  </si>
  <si>
    <t>CURRENTLY ACTIVE TENANTS</t>
  </si>
  <si>
    <t>Tenant ID</t>
  </si>
  <si>
    <t>Tenant Name</t>
  </si>
  <si>
    <t>Unit No.</t>
  </si>
  <si>
    <t>Monthly Rent</t>
  </si>
  <si>
    <t>Agreement End</t>
  </si>
  <si>
    <t>Days Remaining</t>
  </si>
  <si>
    <t>T05</t>
  </si>
  <si>
    <t>Anfal H.</t>
  </si>
  <si>
    <t>15/1595</t>
  </si>
  <si>
    <t>T08</t>
  </si>
  <si>
    <t>Laila</t>
  </si>
  <si>
    <t>15/1572-A</t>
  </si>
  <si>
    <t>T09</t>
  </si>
  <si>
    <t>Abdul Hakkim</t>
  </si>
  <si>
    <t>15/1598</t>
  </si>
  <si>
    <t>Occupied</t>
  </si>
  <si>
    <t>Vacant</t>
  </si>
  <si>
    <t>Active</t>
  </si>
  <si>
    <t>Expired</t>
  </si>
  <si>
    <t>Residential</t>
  </si>
  <si>
    <t>Commercial</t>
  </si>
  <si>
    <t>Tenant Phone</t>
  </si>
  <si>
    <t>Alternate Phone</t>
  </si>
  <si>
    <t>Email</t>
  </si>
  <si>
    <t>Permanent Address</t>
  </si>
  <si>
    <t>Current Address</t>
  </si>
  <si>
    <t>Proof of ID Type</t>
  </si>
  <si>
    <t>Proof of ID Submitted</t>
  </si>
  <si>
    <t>Proof of ID Reference</t>
  </si>
  <si>
    <t>Tenant Type</t>
  </si>
  <si>
    <t>Number of Occupants</t>
  </si>
  <si>
    <t>Emergency Contact Name</t>
  </si>
  <si>
    <t>Emergency Contact Phone</t>
  </si>
  <si>
    <t>Current Unit</t>
  </si>
  <si>
    <t>Current Move-in Date</t>
  </si>
  <si>
    <t>Current Monthly Rent</t>
  </si>
  <si>
    <t>Security Deposit</t>
  </si>
  <si>
    <t>Advance Rent</t>
  </si>
  <si>
    <t>Current Tenancy Status</t>
  </si>
  <si>
    <t>Notes</t>
  </si>
  <si>
    <t>T01</t>
  </si>
  <si>
    <t>Gireeshan</t>
  </si>
  <si>
    <t>Swab Nagar, Moochikkad, Puthiyankam amsom, Alathur</t>
  </si>
  <si>
    <t>15/1596</t>
  </si>
  <si>
    <t>Inactive</t>
  </si>
  <si>
    <t>Agreement Contract #1</t>
  </si>
  <si>
    <t>T02</t>
  </si>
  <si>
    <t>V. Rajesh</t>
  </si>
  <si>
    <t>Kuruppath house, Tharur post, Tharur / Kuruppath, Tharur amsom desam, Alathur Taluk</t>
  </si>
  <si>
    <t>15/1591 &amp; 15/1595</t>
  </si>
  <si>
    <t>Has 3 agreements: 2016 (15/1591 only), 2021 (15/1591 &amp; 15/1595), 2024 renewal (15/1591 &amp; 15/1595). Shop names: HILL 10 Mens Wear &amp; King Star Garments Tailorshop. 2024 agreement ended 16-Mar-2025.</t>
  </si>
  <si>
    <t>T03</t>
  </si>
  <si>
    <t>M. Noushad</t>
  </si>
  <si>
    <t>Parayil, Chungam, Kavassery Village, Alathur Taluk</t>
  </si>
  <si>
    <t>15/1597</t>
  </si>
  <si>
    <t>Agreement Contract #3</t>
  </si>
  <si>
    <t>T04</t>
  </si>
  <si>
    <t>Nandakumar C.A.</t>
  </si>
  <si>
    <t>Chathannukaran House, Punnaparambu Post, Thekkumkara, Thrissur</t>
  </si>
  <si>
    <t>Bilal House</t>
  </si>
  <si>
    <t>Agreement Contract #5. Landlord was Sameena Badruddin.</t>
  </si>
  <si>
    <t>Roulath Manzil, Malayaparambu, Vengannur Post, Alathur</t>
  </si>
  <si>
    <t>AH Minerals India LLP Office. Agreement Contract #6. Agreement starts 07-May-2026.</t>
  </si>
  <si>
    <t>T06</t>
  </si>
  <si>
    <t>Rafeek</t>
  </si>
  <si>
    <t>Palliparambu House, Vengannur, Alathur P.O.</t>
  </si>
  <si>
    <t>15/1592</t>
  </si>
  <si>
    <t>Electronics Service Centre. Has 2 agreements: 2021 (unit unspecified, likely 15/1592) and 2024 (15/1592). 2024 agreement ended 30-Jun-2025.</t>
  </si>
  <si>
    <t>T07</t>
  </si>
  <si>
    <t>Swaminathan</t>
  </si>
  <si>
    <t>Kottamkkunnil House, Vanoor, Alathur</t>
  </si>
  <si>
    <t>15/1577</t>
  </si>
  <si>
    <t>Agreement Contract #8. Shop room.</t>
  </si>
  <si>
    <t>Sainaba Colony, Alathur</t>
  </si>
  <si>
    <t>Agreement Contract #11. Wife of Noor Mohammed. 3-month notice period required.</t>
  </si>
  <si>
    <t>Vengannur, Alathur</t>
  </si>
  <si>
    <t>Agreement Contract #12. Current tenant of 15/1598.</t>
  </si>
  <si>
    <t>T10</t>
  </si>
  <si>
    <t>Fathima</t>
  </si>
  <si>
    <t>Chalupulli House, Vavulliapuram</t>
  </si>
  <si>
    <t>Agreement Contract #13. Previous tenant of 15/1598 upper floor. Agreement ended 29-Jun-2023.</t>
  </si>
  <si>
    <t>T11</t>
  </si>
  <si>
    <t>Muhamed Ajmal K A</t>
  </si>
  <si>
    <t>Anjilaparambu, Alathur</t>
  </si>
  <si>
    <t>15/1591</t>
  </si>
  <si>
    <t>Agreement Contract #14. Studio. Agreement ended 15-Jan-2026.</t>
  </si>
  <si>
    <t>Unit ID</t>
  </si>
  <si>
    <t>Unit / Room No.</t>
  </si>
  <si>
    <t>Floor</t>
  </si>
  <si>
    <t>Description</t>
  </si>
  <si>
    <t>Current Tenant ID</t>
  </si>
  <si>
    <t>Current Tenant Name</t>
  </si>
  <si>
    <t>Occupancy Status</t>
  </si>
  <si>
    <t>Agreement Start</t>
  </si>
  <si>
    <t>Agreement Status</t>
  </si>
  <si>
    <t>U01</t>
  </si>
  <si>
    <t>Ground</t>
  </si>
  <si>
    <t>Shop room, Alathur Grama Panchayat</t>
  </si>
  <si>
    <t>U02</t>
  </si>
  <si>
    <t>Shop room</t>
  </si>
  <si>
    <t>U03</t>
  </si>
  <si>
    <t>Shop room, Alathur Main Road (Saman Building)</t>
  </si>
  <si>
    <t>U04</t>
  </si>
  <si>
    <t>Shop room, Alathur Main Road</t>
  </si>
  <si>
    <t>U05</t>
  </si>
  <si>
    <t>U06</t>
  </si>
  <si>
    <t>RC House</t>
  </si>
  <si>
    <t>U07</t>
  </si>
  <si>
    <t>Panchayat Number 233, Alathur Main Road</t>
  </si>
  <si>
    <t>U08</t>
  </si>
  <si>
    <t>Upper</t>
  </si>
  <si>
    <t>RC Building / Upper floor house, Alathur Main Road</t>
  </si>
  <si>
    <t>U09</t>
  </si>
  <si>
    <t>RC House 'Bilal', Chandranagar Shanti Colony, Palakkad</t>
  </si>
  <si>
    <t>Residence ID</t>
  </si>
  <si>
    <t>Residence Period No.</t>
  </si>
  <si>
    <t>Move-in Date</t>
  </si>
  <si>
    <t>Move-out Date</t>
  </si>
  <si>
    <t>Duration (Days)</t>
  </si>
  <si>
    <t>Duration (Months)</t>
  </si>
  <si>
    <t>Duration (Years)</t>
  </si>
  <si>
    <t>Monthly Rent During Stay</t>
  </si>
  <si>
    <t>Total Rent Paid</t>
  </si>
  <si>
    <t>Total Arrears</t>
  </si>
  <si>
    <t>Payment Status</t>
  </si>
  <si>
    <t>Agreement Start Date</t>
  </si>
  <si>
    <t>Agreement End Date</t>
  </si>
  <si>
    <t>Reason for Leaving</t>
  </si>
  <si>
    <t>Source File</t>
  </si>
  <si>
    <t>Remarks</t>
  </si>
  <si>
    <t>RES01</t>
  </si>
  <si>
    <t>Agreement expired</t>
  </si>
  <si>
    <t>rent data.txt - Contract 1</t>
  </si>
  <si>
    <t>RES02</t>
  </si>
  <si>
    <t>Agreement expired (2024 renewal ended)</t>
  </si>
  <si>
    <t>rent data.txt - Contracts 2 &amp; 9</t>
  </si>
  <si>
    <t>Rent was ₹18,000 (2021-2024) then ₹20,000 (2024-2025). Two agreements cover this continuous period.</t>
  </si>
  <si>
    <t>RES03</t>
  </si>
  <si>
    <t>rent data.txt - Contract 3</t>
  </si>
  <si>
    <t>RES04</t>
  </si>
  <si>
    <t>rent data.txt - Contract 4</t>
  </si>
  <si>
    <t>Landlord was K. Ismail. Menswear shop. Very low rent (₹600) — possibly nominal rent with large deposit structure.</t>
  </si>
  <si>
    <t>RES05</t>
  </si>
  <si>
    <t>rent data.txt - Contract 5</t>
  </si>
  <si>
    <t>Landlord: Sameena Badruddin.</t>
  </si>
  <si>
    <t>RES06</t>
  </si>
  <si>
    <t>rent data.txt - Contract 6</t>
  </si>
  <si>
    <t>Currently active. AH Minerals India LLP.</t>
  </si>
  <si>
    <t>RES07</t>
  </si>
  <si>
    <t>rent data.txt - Contract 7</t>
  </si>
  <si>
    <t>Electronics Service Centre. 2nd stay period.</t>
  </si>
  <si>
    <t>RES08</t>
  </si>
  <si>
    <t>rent data.txt - Contract 8</t>
  </si>
  <si>
    <t>RES09</t>
  </si>
  <si>
    <t>Unspecified (likely 15/1592)</t>
  </si>
  <si>
    <t>rent data.txt - Contract 10</t>
  </si>
  <si>
    <t>Landlord: Sameena B. Unit not explicitly stated in agreement. Flagged in Data Review.</t>
  </si>
  <si>
    <t>RES10</t>
  </si>
  <si>
    <t>rent data.txt - Contract 11</t>
  </si>
  <si>
    <t>Currently active.</t>
  </si>
  <si>
    <t>RES11</t>
  </si>
  <si>
    <t>rent data.txt - Contract 12</t>
  </si>
  <si>
    <t>RES12</t>
  </si>
  <si>
    <t>rent data.txt - Contract 13</t>
  </si>
  <si>
    <t>Previous tenant of unit 15/1598.</t>
  </si>
  <si>
    <t>RES13</t>
  </si>
  <si>
    <t>rent data.txt - Contract 14</t>
  </si>
  <si>
    <t>Studio.</t>
  </si>
  <si>
    <t>Payment ID</t>
  </si>
  <si>
    <t>Previous Arrears</t>
  </si>
  <si>
    <t>Other Charges</t>
  </si>
  <si>
    <t>Late Fee</t>
  </si>
  <si>
    <t>Total Due</t>
  </si>
  <si>
    <t>Amount Paid</t>
  </si>
  <si>
    <t>Balance</t>
  </si>
  <si>
    <t>Payment Date</t>
  </si>
  <si>
    <t>Payment Method</t>
  </si>
  <si>
    <t>Transaction / Receipt No.</t>
  </si>
  <si>
    <t>Late Days</t>
  </si>
  <si>
    <t>Original Record Reference</t>
  </si>
  <si>
    <t>PAY0001</t>
  </si>
  <si>
    <t>Template row for data entry</t>
  </si>
  <si>
    <t>PAY0002</t>
  </si>
  <si>
    <t>PAY0003</t>
  </si>
  <si>
    <t>Agreement ID</t>
  </si>
  <si>
    <t>Landlord</t>
  </si>
  <si>
    <t>Rent Due Date</t>
  </si>
  <si>
    <t>Witness ID(s)</t>
  </si>
  <si>
    <t>Renewal Status</t>
  </si>
  <si>
    <t>Document Reference</t>
  </si>
  <si>
    <t>AGR01</t>
  </si>
  <si>
    <t>Abdul Nassar</t>
  </si>
  <si>
    <t>1st of month</t>
  </si>
  <si>
    <t>Not Renewed</t>
  </si>
  <si>
    <t>Late rent incurs 12% interest. Tenant pays electricity &amp; water.</t>
  </si>
  <si>
    <t>AGR02</t>
  </si>
  <si>
    <t>W01</t>
  </si>
  <si>
    <t>Renewed (AGR07)</t>
  </si>
  <si>
    <t>rent data.txt - Contract 2</t>
  </si>
  <si>
    <t>HILL 10 Mens Wear (₹6,000 for 1591) + King Star Garments (₹12,000 for 1595). 12% late penalty.</t>
  </si>
  <si>
    <t>AGR03</t>
  </si>
  <si>
    <t>K. Abdul Nassar</t>
  </si>
  <si>
    <t>10th of month</t>
  </si>
  <si>
    <t>Agreement executed 27-Jun-2019. Tenant pays electricity &amp; water. No subletting.</t>
  </si>
  <si>
    <t>AGR04</t>
  </si>
  <si>
    <t>K. Ismail</t>
  </si>
  <si>
    <t>W02, W03</t>
  </si>
  <si>
    <t>Renewed (AGR02)</t>
  </si>
  <si>
    <t>Landlord was K. Ismail (Son of Kabeer). Menswear shop. 12% late penalty.</t>
  </si>
  <si>
    <t>AGR05</t>
  </si>
  <si>
    <t>Sameena Badruddin</t>
  </si>
  <si>
    <t>End of month</t>
  </si>
  <si>
    <t>W04, W05</t>
  </si>
  <si>
    <t>Landlord: Sameena Badruddin (Wife of Abdul Nassar Kabeer). 2% monthly interest late penalty. 1-month notice for early termination.</t>
  </si>
  <si>
    <t>AGR06</t>
  </si>
  <si>
    <t>7th of month</t>
  </si>
  <si>
    <t>W06, W07</t>
  </si>
  <si>
    <t>Current</t>
  </si>
  <si>
    <t>AH Minerals India LLP Office. Saman Building. 12% late penalty. 1-month notice for early termination.</t>
  </si>
  <si>
    <t>AGR07</t>
  </si>
  <si>
    <t>16th of month</t>
  </si>
  <si>
    <t>rent data.txt - Contract 9</t>
  </si>
  <si>
    <t>Renewal of Contract 2. Rent increased from ₹18,000 to ₹20,000. Hill 10 Mens Wear &amp; King Star Garments.</t>
  </si>
  <si>
    <t>AGR08</t>
  </si>
  <si>
    <t>5th of month</t>
  </si>
  <si>
    <t>Electronics Service Centre. 12% late penalty.</t>
  </si>
  <si>
    <t>AGR09</t>
  </si>
  <si>
    <t>W08, W09</t>
  </si>
  <si>
    <t>Shop room. Tenant pays electricity. No subletting.</t>
  </si>
  <si>
    <t>AGR10</t>
  </si>
  <si>
    <t>Unspecified</t>
  </si>
  <si>
    <t>Sameena B.</t>
  </si>
  <si>
    <t>Renewed (AGR08)</t>
  </si>
  <si>
    <t>Landlord: Sameena B. Electronics Servicing Centre. Unit not explicitly stated — likely 15/1592. 12% late penalty.</t>
  </si>
  <si>
    <t>AGR11</t>
  </si>
  <si>
    <t>W10, W11</t>
  </si>
  <si>
    <t>Wife of Noor Mohammed. 3-month notice period required to vacate. No subletting.</t>
  </si>
  <si>
    <t>AGR12</t>
  </si>
  <si>
    <t>K. Abdul Nazar</t>
  </si>
  <si>
    <t>19th of month</t>
  </si>
  <si>
    <t>RC building.</t>
  </si>
  <si>
    <t>AGR13</t>
  </si>
  <si>
    <t>W12, W13</t>
  </si>
  <si>
    <t>Upper floor residence. 12% late penalty. Tenant pays electricity &amp; water.</t>
  </si>
  <si>
    <t>AGR14</t>
  </si>
  <si>
    <t>Abdul Nazar</t>
  </si>
  <si>
    <t>15th of month</t>
  </si>
  <si>
    <t>W14</t>
  </si>
  <si>
    <t>Studio. Agreement executed 17-Feb-2025. 12% late penalty.</t>
  </si>
  <si>
    <t>Witness ID</t>
  </si>
  <si>
    <t>Witness Name</t>
  </si>
  <si>
    <t>Witness Phone</t>
  </si>
  <si>
    <t>Witness Address</t>
  </si>
  <si>
    <t>Witness ID Type</t>
  </si>
  <si>
    <t>Witness ID Reference</t>
  </si>
  <si>
    <t>Relationship / Role</t>
  </si>
  <si>
    <t>Document / Agreement Reference</t>
  </si>
  <si>
    <t>Date</t>
  </si>
  <si>
    <t>Suresh</t>
  </si>
  <si>
    <t>Melar Parambu, Vanoor</t>
  </si>
  <si>
    <t>Witness 2</t>
  </si>
  <si>
    <t>witness.txt - Contract 2</t>
  </si>
  <si>
    <t>S/o Subrahmanian. Witness 1 was blank.</t>
  </si>
  <si>
    <t>W02</t>
  </si>
  <si>
    <t>Krishna Sankar</t>
  </si>
  <si>
    <t>Witness 1</t>
  </si>
  <si>
    <t>witness.txt - Contract 4</t>
  </si>
  <si>
    <t>W03</t>
  </si>
  <si>
    <t>Vivek V.</t>
  </si>
  <si>
    <t>W04</t>
  </si>
  <si>
    <t>Velmurukan V.</t>
  </si>
  <si>
    <t>Akshay Nivas, Veenampotta, Athikode, Palakkad</t>
  </si>
  <si>
    <t>witness.txt - Contract 5</t>
  </si>
  <si>
    <t>W05</t>
  </si>
  <si>
    <t>Abdul Kabeer P.Y</t>
  </si>
  <si>
    <t>S/o P.Y Hamza.</t>
  </si>
  <si>
    <t>W06</t>
  </si>
  <si>
    <t>[Illegible Signature]</t>
  </si>
  <si>
    <t>Anfi House, Malikaparambu, Alathur</t>
  </si>
  <si>
    <t>witness.txt - Contract 6</t>
  </si>
  <si>
    <t>Signature illegible.</t>
  </si>
  <si>
    <t>W07</t>
  </si>
  <si>
    <t>Bilal A.</t>
  </si>
  <si>
    <t>Malikaparambu, Alathur</t>
  </si>
  <si>
    <t>W08</t>
  </si>
  <si>
    <t>K. Badharudheen</t>
  </si>
  <si>
    <t>Jazeel, Swathi Nagar, Alathur</t>
  </si>
  <si>
    <t>witness.txt - Contract 8</t>
  </si>
  <si>
    <t>W09</t>
  </si>
  <si>
    <t>[Address illegible]</t>
  </si>
  <si>
    <t>S/o Subramanian. Address illegible. Possibly same Suresh as W01.</t>
  </si>
  <si>
    <t>W10</t>
  </si>
  <si>
    <t>Rafeek. A</t>
  </si>
  <si>
    <t>witness.txt - Contract 11</t>
  </si>
  <si>
    <t>Possibly same person as tenant Rafeek (T06) — flagged in Data Review.</t>
  </si>
  <si>
    <t>W11</t>
  </si>
  <si>
    <t>Suresh. S</t>
  </si>
  <si>
    <t>Possibly same Suresh as W01 and W09.</t>
  </si>
  <si>
    <t>W12</t>
  </si>
  <si>
    <t>Asiya. S</t>
  </si>
  <si>
    <t>Devi Nagar, Vengannur, Alathur, Palakkad</t>
  </si>
  <si>
    <t>witness.txt - Contract 13</t>
  </si>
  <si>
    <t>W13</t>
  </si>
  <si>
    <t>Girish D</t>
  </si>
  <si>
    <t>Thejomayam, Kattussery Post, Alathur, Palakkad, Pin-678542</t>
  </si>
  <si>
    <t>[Signature only, no printed name]</t>
  </si>
  <si>
    <t>witness.txt - Contract 14</t>
  </si>
  <si>
    <t>Signature only, name not printed. Witness 2 was blank.</t>
  </si>
  <si>
    <t>Deposit/Advance ID</t>
  </si>
  <si>
    <t>Deposit Date</t>
  </si>
  <si>
    <t>Advance Date</t>
  </si>
  <si>
    <t>Deposit Adjusted</t>
  </si>
  <si>
    <t>Refund Date</t>
  </si>
  <si>
    <t>Refund Amount</t>
  </si>
  <si>
    <t>Remaining Deposit</t>
  </si>
  <si>
    <t>Status</t>
  </si>
  <si>
    <t>DEP01</t>
  </si>
  <si>
    <t>Unknown</t>
  </si>
  <si>
    <t>Agreement expired. Refund status unknown.</t>
  </si>
  <si>
    <t>DEP02</t>
  </si>
  <si>
    <t>Deposit carried forward from 2016 agreement (₹75,000 original). Increased to ₹1,25,000 by 2021.</t>
  </si>
  <si>
    <t>DEP03</t>
  </si>
  <si>
    <t>DEP04</t>
  </si>
  <si>
    <t>Yes - carried to AGR02</t>
  </si>
  <si>
    <t>Adjusted</t>
  </si>
  <si>
    <t>Original deposit under K. Ismail. Carried forward.</t>
  </si>
  <si>
    <t>DEP05</t>
  </si>
  <si>
    <t>DEP06</t>
  </si>
  <si>
    <t>Held</t>
  </si>
  <si>
    <t>Active tenant.</t>
  </si>
  <si>
    <t>DEP07</t>
  </si>
  <si>
    <t>Agreement expired.</t>
  </si>
  <si>
    <t>DEP08</t>
  </si>
  <si>
    <t>DEP09</t>
  </si>
  <si>
    <t>Yes - carried to AGR08</t>
  </si>
  <si>
    <t>Likely same deposit carried to 2024 agreement.</t>
  </si>
  <si>
    <t>DEP10</t>
  </si>
  <si>
    <t>DEP11</t>
  </si>
  <si>
    <t>DEP12</t>
  </si>
  <si>
    <t>DEP13</t>
  </si>
  <si>
    <t>Electricity Previous Reading</t>
  </si>
  <si>
    <t>Electricity Current Reading</t>
  </si>
  <si>
    <t>Units Consumed</t>
  </si>
  <si>
    <t>Electricity Rate</t>
  </si>
  <si>
    <t>Electricity Amount</t>
  </si>
  <si>
    <t>Water Charge</t>
  </si>
  <si>
    <t>Maintenance Charge</t>
  </si>
  <si>
    <t>Parking Charge</t>
  </si>
  <si>
    <t>Other Charge</t>
  </si>
  <si>
    <t>Total Charges</t>
  </si>
  <si>
    <t>Expense ID</t>
  </si>
  <si>
    <t>Expense Category</t>
  </si>
  <si>
    <t>Unit / Common Area</t>
  </si>
  <si>
    <t>Vendor / Person</t>
  </si>
  <si>
    <t>Amount</t>
  </si>
  <si>
    <t>Invoice / Receipt No.</t>
  </si>
  <si>
    <t>Paid By</t>
  </si>
  <si>
    <t>EXP0001</t>
  </si>
  <si>
    <t>[No expense data provided — ready for data entry]</t>
  </si>
  <si>
    <t>Current Rent</t>
  </si>
  <si>
    <t>Current Status</t>
  </si>
  <si>
    <t>Number of Stays</t>
  </si>
  <si>
    <t>Total Residence (Months)</t>
  </si>
  <si>
    <t>Previous Units</t>
  </si>
  <si>
    <t>Total Outstanding</t>
  </si>
  <si>
    <t>Total Deposits</t>
  </si>
  <si>
    <t>Number of Agreements</t>
  </si>
  <si>
    <t>Payment History Summary</t>
  </si>
  <si>
    <t>No payment records available</t>
  </si>
  <si>
    <t>15/1591, 15/1591 &amp; 15/1595</t>
  </si>
  <si>
    <t>Active - awaiting payment data</t>
  </si>
  <si>
    <t>Unspecified (likely 15/1592), 15/1592</t>
  </si>
  <si>
    <t>Issue ID</t>
  </si>
  <si>
    <t>Category</t>
  </si>
  <si>
    <t>Source Record</t>
  </si>
  <si>
    <t>Related Tenant ID</t>
  </si>
  <si>
    <t>Related Unit</t>
  </si>
  <si>
    <t>Severity</t>
  </si>
  <si>
    <t>Suggested Action</t>
  </si>
  <si>
    <t>ISS01</t>
  </si>
  <si>
    <t>Unit Assignment</t>
  </si>
  <si>
    <t>Rafeek's 2021 agreement (Contract 10) does not explicitly state a unit number. Likely 15/1592 based on his 2024 agreement for the same business.</t>
  </si>
  <si>
    <t>Contract 10</t>
  </si>
  <si>
    <t>High</t>
  </si>
  <si>
    <t>Confirm unit number with landlord</t>
  </si>
  <si>
    <t>Open</t>
  </si>
  <si>
    <t>Both 2021 and 2024 agreements are for 'Electronics Servicing Centre' at same address.</t>
  </si>
  <si>
    <t>ISS02</t>
  </si>
  <si>
    <t>Duplicate Tenant</t>
  </si>
  <si>
    <t>V. Rajesh appears in Contracts 2, 4, and 9. Contract 4 uses 'V. Rajesh', Contract 2 uses 'Rajesh'. Confirmed same person based on address and unit.</t>
  </si>
  <si>
    <t>rent data.txt</t>
  </si>
  <si>
    <t>Contracts 2, 4, 9</t>
  </si>
  <si>
    <t>Informational</t>
  </si>
  <si>
    <t>Merged as T02 - V. Rajesh</t>
  </si>
  <si>
    <t>Resolved</t>
  </si>
  <si>
    <t>Address matches: Kuruppath, Tharur. Same shops.</t>
  </si>
  <si>
    <t>ISS03</t>
  </si>
  <si>
    <t>Unit Overlap</t>
  </si>
  <si>
    <t>Unit 15/1598 was occupied by Fathima (Aug 2022 - Jun 2023) and now by Abdul Hakkim (Nov 2025 - present). Gap between Jun 2023 and Nov 2025 is unaccounted.</t>
  </si>
  <si>
    <t>Contracts 12 &amp; 13</t>
  </si>
  <si>
    <t>T09/T10</t>
  </si>
  <si>
    <t>Medium</t>
  </si>
  <si>
    <t>Verify if there was an interim tenant between Jun 2023 and Nov 2025</t>
  </si>
  <si>
    <t>ISS04</t>
  </si>
  <si>
    <t>Unit 15/1595 was part of Rajesh's rental (until Mar 2025) and is now rented to Anfal (from May 2026). Gap between Mar 2025 and May 2026.</t>
  </si>
  <si>
    <t>Contracts 9 &amp; 6</t>
  </si>
  <si>
    <t>T02/T05</t>
  </si>
  <si>
    <t>Verify vacancy period for 15/1595</t>
  </si>
  <si>
    <t>ISS05</t>
  </si>
  <si>
    <t>Unit 15/1591 was rented by Rajesh (until Mar 2025) and then Muhamed Ajmal (Feb 2025 - Jan 2026). There is a 1-month overlap (Feb-Mar 2025).</t>
  </si>
  <si>
    <t>Contracts 9 &amp; 14</t>
  </si>
  <si>
    <t>T02/T11</t>
  </si>
  <si>
    <t>Clarify: Did Rajesh vacate 15/1591 early, or did Ajmal start later? The overlap needs resolution.</t>
  </si>
  <si>
    <t>Rajesh agreement says end 16-Mar-2025. Ajmal agreement says start 15-Feb-2025.</t>
  </si>
  <si>
    <t>ISS06</t>
  </si>
  <si>
    <t>Witness Identity</t>
  </si>
  <si>
    <t>Witness 'Rafeek. A' on Laila's agreement (W10) may be the same person as tenant Rafeek (T06) from Palliparambu House, Vengannur.</t>
  </si>
  <si>
    <t>witness.txt</t>
  </si>
  <si>
    <t>Contract 11</t>
  </si>
  <si>
    <t>Low</t>
  </si>
  <si>
    <t>Confirm if witness Rafeek. A is tenant Rafeek (T06)</t>
  </si>
  <si>
    <t>ISS07</t>
  </si>
  <si>
    <t>Multiple 'Suresh' witnesses appear across contracts (W01, W09, W11). 'Suresh S/o Subrahmanian' (Contracts 2 &amp; 8) and 'Suresh. S' (Contract 11) are likely the same person.</t>
  </si>
  <si>
    <t>Contracts 2, 8, 11</t>
  </si>
  <si>
    <t>Multiple</t>
  </si>
  <si>
    <t>Confirm identity — likely same person</t>
  </si>
  <si>
    <t>ISS08</t>
  </si>
  <si>
    <t>Missing Witness</t>
  </si>
  <si>
    <t>Several agreements have blank or illegible witnesses: Gireeshan (both blank), Rafeek 2024 (both blank), Abdul Hakkim (both blank), Rajesh 2024 (illegible), Noushad (no witness section), Rafeek 2021 (no witness section).</t>
  </si>
  <si>
    <t>Contracts 1,7,9,10,12</t>
  </si>
  <si>
    <t>Collect witness information for agreements missing witnesses</t>
  </si>
  <si>
    <t>ISS09</t>
  </si>
  <si>
    <t>Illegible Witness</t>
  </si>
  <si>
    <t>Anfal's agreement Witness 1 has an illegible signature. Name could not be determined.</t>
  </si>
  <si>
    <t>Contract 6</t>
  </si>
  <si>
    <t>Request printed name from Anfal</t>
  </si>
  <si>
    <t>Address recorded: Anfi House, Malikaparambu, Alathur.</t>
  </si>
  <si>
    <t>ISS10</t>
  </si>
  <si>
    <t>Muhamed Ajmal's agreement Witness 1 has signature only, no printed name. Witness 2 is blank.</t>
  </si>
  <si>
    <t>Contract 14</t>
  </si>
  <si>
    <t>Request printed name from Muhamed Ajmal</t>
  </si>
  <si>
    <t>ISS11</t>
  </si>
  <si>
    <t>Landlord Variation</t>
  </si>
  <si>
    <t>Multiple landlord names appear: Abdul Nassar, K. Abdul Nassar, K. Abdul Nazar, Abdul Nazar, K. Ismail, Sameena Badruddin, Sameena B. Likely family members or name variations.</t>
  </si>
  <si>
    <t>All contracts</t>
  </si>
  <si>
    <t>Document landlord relationships for reference</t>
  </si>
  <si>
    <t>K. Ismail is 'Son of Kabeer'. Abdul Nassar is also 'Son of Kabeer' — likely brothers. Sameena Badruddin is 'Wife of Abdul Nassar Kabeer'.</t>
  </si>
  <si>
    <t>ISS12</t>
  </si>
  <si>
    <t>Missing Data</t>
  </si>
  <si>
    <t>No payment transaction records provided. Rent collection sheet has agreement-level data only, no individual payment dates/amounts/methods.</t>
  </si>
  <si>
    <t>All source files</t>
  </si>
  <si>
    <t>N/A</t>
  </si>
  <si>
    <t>Collect actual payment receipts/records to populate Rent Collection sheet</t>
  </si>
  <si>
    <t>The rent data files contain agreement details only, not transaction-level payment history.</t>
  </si>
  <si>
    <t>ISS13</t>
  </si>
  <si>
    <t>No phone numbers, email addresses, ID proof details, or emergency contacts provided for any tenant.</t>
  </si>
  <si>
    <t>All</t>
  </si>
  <si>
    <t>Collect personal contact details from all tenants</t>
  </si>
  <si>
    <t>Source agreements are standard Malayalam deed agreements that don't contain these fields.</t>
  </si>
  <si>
    <t>ISS14</t>
  </si>
  <si>
    <t>Rent Discrepancy</t>
  </si>
  <si>
    <t>Rajesh's rent for 15/1591 was ₹600 in 2016 (Contract 4) but ₹6,000 for the same unit in 2021 (Contract 2). This is a 10x increase. May be correct (5-year gap) but is notable.</t>
  </si>
  <si>
    <t>Contracts 2 &amp; 4</t>
  </si>
  <si>
    <t>Verify — possibly nominal rent in 2016 due to large deposit structure (₹75,000 deposit vs ₹600 rent)</t>
  </si>
  <si>
    <t>ISS15</t>
  </si>
  <si>
    <t>Rajesh Residence Continuity</t>
  </si>
  <si>
    <t>Rajesh has 3 agreements: 2016 (15/1591 only), 2021 (15/1591 &amp; 15/1595), 2024 renewal. Gap between Jul 2017 and Aug 2021 is unaccounted — was Rajesh still occupying the premises?</t>
  </si>
  <si>
    <t>Verify if Rajesh occupied the unit continuously 2017-2021 without a formal agreement, or if there was a gap</t>
  </si>
  <si>
    <t>The 2016 agreement was under K. Ismail; the 2021 agreement was under Abdul Nassar. Property ownership may have changed.</t>
  </si>
  <si>
    <t>Contract #</t>
  </si>
  <si>
    <t>Duration</t>
  </si>
  <si>
    <t>Landlord Name</t>
  </si>
  <si>
    <t>Notes / Summary</t>
  </si>
  <si>
    <t>A.P. 15/1596 (RC House)</t>
  </si>
  <si>
    <t>11 months</t>
  </si>
  <si>
    <t>1st of every English month</t>
  </si>
  <si>
    <t>Late rent 12% interest. Tenant pays electricity &amp; water.</t>
  </si>
  <si>
    <t>Rajesh</t>
  </si>
  <si>
    <t>A.P. 15/1591 &amp; A.P. 15/1595</t>
  </si>
  <si>
    <t>Kuruppath house, Tharur post, Tharur</t>
  </si>
  <si>
    <t>HILL 10 Mens Wear (₹6,000 Room 1591) + King Star Garments (₹12,000 Room 1595). 12% late penalty.</t>
  </si>
  <si>
    <t>15/1597 (Panchayat Number 233)</t>
  </si>
  <si>
    <t>10th of every English month</t>
  </si>
  <si>
    <t>Agreement executed 27-Jun-2019. Tenant pays electricity &amp; water.</t>
  </si>
  <si>
    <t>15/1591 (Panchayat Main Road)</t>
  </si>
  <si>
    <t>Commercial (Menswear)</t>
  </si>
  <si>
    <t>Kuruppath, Tharur amsom desam, Alathur Taluk</t>
  </si>
  <si>
    <t>Agreement date 23-Aug-2016. 12% late penalty.</t>
  </si>
  <si>
    <t>RC House 'Bilal', Chandranagar Shanti Colony</t>
  </si>
  <si>
    <t>Agreement executed 24-Jun-2022. 2% monthly interest late penalty. 1-month notice.</t>
  </si>
  <si>
    <t>15/1595 (Saman Building)</t>
  </si>
  <si>
    <t>Commercial (AH Minerals India LLP)</t>
  </si>
  <si>
    <t>7th of every month</t>
  </si>
  <si>
    <t>12% late penalty. 1-month notice for early termination.</t>
  </si>
  <si>
    <t>A.P. 15/1592</t>
  </si>
  <si>
    <t>Commercial (Electronics Service Centre)</t>
  </si>
  <si>
    <t>5th of every English month</t>
  </si>
  <si>
    <t>Agreement executed 05-Aug-2024. 12% late penalty.</t>
  </si>
  <si>
    <t>A.P. 15/1577</t>
  </si>
  <si>
    <t>Commercial (Shop room)</t>
  </si>
  <si>
    <t>Tenant pays electricity. No subletting.</t>
  </si>
  <si>
    <t>A.P. 15/1591 and A.P. 15/1595</t>
  </si>
  <si>
    <t>Commercial (Hill 10 &amp; King Star)</t>
  </si>
  <si>
    <t>Kuruppath, Tharur</t>
  </si>
  <si>
    <t>16th of every English month</t>
  </si>
  <si>
    <t>Renewal. Rent increased from ₹18,000 to ₹20,000. 12% late penalty.</t>
  </si>
  <si>
    <t>Not explicitly stated</t>
  </si>
  <si>
    <t>Commercial (Electronics Servicing Centre)</t>
  </si>
  <si>
    <t>Palliparambu House, Vengannur, Alathur</t>
  </si>
  <si>
    <t>Landlord: Sameena B. (Wife of Abdul Nazar). 12% late penalty.</t>
  </si>
  <si>
    <t>A.P. 15/1572-A</t>
  </si>
  <si>
    <t>Wife of Noor Mohammed. 3-month notice period.</t>
  </si>
  <si>
    <t>A.P. 15/1598 (RC building)</t>
  </si>
  <si>
    <t>19th of every month</t>
  </si>
  <si>
    <t>A.P. 15/1598 (Upper floor)</t>
  </si>
  <si>
    <t>12% late penalty. Tenant pays electricity &amp; water.</t>
  </si>
  <si>
    <t>Commercial (Studio)</t>
  </si>
  <si>
    <t>15th of every English month</t>
  </si>
  <si>
    <t>Agreement executed 17-Feb-2025. 12% late penalty.</t>
  </si>
  <si>
    <t>Unit(s)</t>
  </si>
  <si>
    <t>Agreement Year</t>
  </si>
  <si>
    <t>Witness 1 Name</t>
  </si>
  <si>
    <t>Witness 1 Address</t>
  </si>
  <si>
    <t>Witness 2 Name</t>
  </si>
  <si>
    <t>Witness 2 Address</t>
  </si>
  <si>
    <t>2021</t>
  </si>
  <si>
    <t>[Blank]</t>
  </si>
  <si>
    <t>Both witness fields are blank.</t>
  </si>
  <si>
    <t>Suresh, S/o Subrahmanian</t>
  </si>
  <si>
    <t>Witness 1 blank.</t>
  </si>
  <si>
    <t>Noushad</t>
  </si>
  <si>
    <t>2019</t>
  </si>
  <si>
    <t>No witness section in provided pages.</t>
  </si>
  <si>
    <t>2016</t>
  </si>
  <si>
    <t>Nandakumar</t>
  </si>
  <si>
    <t>2022</t>
  </si>
  <si>
    <t>S/o P.Y Hamza</t>
  </si>
  <si>
    <t>Anfal</t>
  </si>
  <si>
    <t>2026</t>
  </si>
  <si>
    <t>[Signature illegible]</t>
  </si>
  <si>
    <t>Witness 1 signature illegible.</t>
  </si>
  <si>
    <t>2024</t>
  </si>
  <si>
    <t>Both witness fields blank.</t>
  </si>
  <si>
    <t>Suresh S/o Subramanian</t>
  </si>
  <si>
    <t>[Illegible signatures]</t>
  </si>
  <si>
    <t>Two signatures present but names not printed.</t>
  </si>
  <si>
    <t>2025</t>
  </si>
  <si>
    <t>Muhamed Ajmal</t>
  </si>
  <si>
    <t>Witness 1 signature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</si>
</sst>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₹#,##0"/>
    <numFmt numFmtId="166" formatCode="dd\-mmm\-yyyy"/>
    <numFmt numFmtId="167" formatCode="0.0"/>
    <numFmt numFmtId="168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9"/>
      <color rgb="FF808080"/>
      <name val="Calibri"/>
    </font>
    <font>
      <b/>
      <sz val="11"/>
      <name val="Calibri"/>
    </font>
    <font>
      <b/>
      <sz val="13"/>
      <color rgb="FF1F4E79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02060"/>
        <bgColor rgb="FF00206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67" fontId="2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7" fillId="5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DDEBF7"/>
          <bgColor rgb="FFDDEBF7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DD7EE"/>
          <bgColor rgb="FFBDD7E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Unit Occupancy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93-4707-A7B2-0C026DFD93A4}"/>
              </c:ext>
            </c:extLst>
          </c:dPt>
          <c:dPt>
            <c:idx val="1"/>
            <c:bubble3D val="0"/>
            <c:spPr>
              <a:solidFill>
                <a:srgbClr val="FF6B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93-4707-A7B2-0C026DFD93A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Dashboard!$A$48:$A$49</c:f>
              <c:strCache>
                <c:ptCount val="2"/>
                <c:pt idx="0">
                  <c:v>Occupied</c:v>
                </c:pt>
                <c:pt idx="1">
                  <c:v>Vacant</c:v>
                </c:pt>
              </c:strCache>
            </c:strRef>
          </c:cat>
          <c:val>
            <c:numRef>
              <c:f>Dashboard!$B$48:$B$49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93-4707-A7B2-0C026DFD93A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Agreement Status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33680555555555558"/>
          <c:y val="1.3111111111111112E-2"/>
          <c:w val="0.49836805555555558"/>
          <c:h val="0.79738888888888892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98-4130-93C8-78872A8A576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98-4130-93C8-78872A8A576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Dashboard!$A$51:$A$52</c:f>
              <c:strCache>
                <c:ptCount val="2"/>
                <c:pt idx="0">
                  <c:v>Active</c:v>
                </c:pt>
                <c:pt idx="1">
                  <c:v>Expired</c:v>
                </c:pt>
              </c:strCache>
            </c:strRef>
          </c:cat>
          <c:val>
            <c:numRef>
              <c:f>Dashboard!$B$51:$B$52</c:f>
              <c:numCache>
                <c:formatCode>General</c:formatCode>
                <c:ptCount val="2"/>
                <c:pt idx="0">
                  <c:v>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98-4130-93C8-78872A8A576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Rent by Active Tenant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Dashboard!$A$54:$A$56</c:f>
              <c:strCache>
                <c:ptCount val="3"/>
                <c:pt idx="0">
                  <c:v>Anfal H.</c:v>
                </c:pt>
                <c:pt idx="1">
                  <c:v>Laila</c:v>
                </c:pt>
                <c:pt idx="2">
                  <c:v>Abdul Hakkim</c:v>
                </c:pt>
              </c:strCache>
            </c:strRef>
          </c:cat>
          <c:val>
            <c:numRef>
              <c:f>Dashboard!$B$54:$B$56</c:f>
              <c:numCache>
                <c:formatCode>General</c:formatCode>
                <c:ptCount val="3"/>
                <c:pt idx="0">
                  <c:v>3000</c:v>
                </c:pt>
                <c:pt idx="1">
                  <c:v>3000</c:v>
                </c:pt>
                <c:pt idx="2">
                  <c:v>4200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15-46A8-B424-DCA378774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 Rent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Tenant Type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D0-4F34-8829-FD2BA4A270C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D0-4F34-8829-FD2BA4A270C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Dashboard!$A$59:$A$60</c:f>
              <c:strCache>
                <c:ptCount val="2"/>
                <c:pt idx="0">
                  <c:v>Residential</c:v>
                </c:pt>
                <c:pt idx="1">
                  <c:v>Commercial</c:v>
                </c:pt>
              </c:strCache>
            </c:strRef>
          </c:cat>
          <c:val>
            <c:numRef>
              <c:f>Dashboard!$B$59:$B$60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0-4F34-8829-FD2BA4A270C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37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76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nantMaster" displayName="TenantMaster" ref="A1:U12">
  <autoFilter ref="A1:U12" xr:uid="{00000000-0009-0000-0100-000001000000}"/>
  <tableColumns count="21">
    <tableColumn id="1" xr3:uid="{00000000-0010-0000-0000-000001000000}" name="Tenant ID"/>
    <tableColumn id="2" xr3:uid="{00000000-0010-0000-0000-000002000000}" name="Tenant Name"/>
    <tableColumn id="3" xr3:uid="{00000000-0010-0000-0000-000003000000}" name="Tenant Phone"/>
    <tableColumn id="4" xr3:uid="{00000000-0010-0000-0000-000004000000}" name="Alternate Phone"/>
    <tableColumn id="5" xr3:uid="{00000000-0010-0000-0000-000005000000}" name="Email"/>
    <tableColumn id="6" xr3:uid="{00000000-0010-0000-0000-000006000000}" name="Permanent Address"/>
    <tableColumn id="7" xr3:uid="{00000000-0010-0000-0000-000007000000}" name="Current Address"/>
    <tableColumn id="8" xr3:uid="{00000000-0010-0000-0000-000008000000}" name="Proof of ID Type"/>
    <tableColumn id="9" xr3:uid="{00000000-0010-0000-0000-000009000000}" name="Proof of ID Submitted"/>
    <tableColumn id="10" xr3:uid="{00000000-0010-0000-0000-00000A000000}" name="Proof of ID Reference"/>
    <tableColumn id="11" xr3:uid="{00000000-0010-0000-0000-00000B000000}" name="Tenant Type"/>
    <tableColumn id="12" xr3:uid="{00000000-0010-0000-0000-00000C000000}" name="Number of Occupants"/>
    <tableColumn id="13" xr3:uid="{00000000-0010-0000-0000-00000D000000}" name="Emergency Contact Name"/>
    <tableColumn id="14" xr3:uid="{00000000-0010-0000-0000-00000E000000}" name="Emergency Contact Phone"/>
    <tableColumn id="15" xr3:uid="{00000000-0010-0000-0000-00000F000000}" name="Current Unit"/>
    <tableColumn id="16" xr3:uid="{00000000-0010-0000-0000-000010000000}" name="Current Move-in Date"/>
    <tableColumn id="17" xr3:uid="{00000000-0010-0000-0000-000011000000}" name="Current Monthly Rent"/>
    <tableColumn id="18" xr3:uid="{00000000-0010-0000-0000-000012000000}" name="Security Deposit"/>
    <tableColumn id="19" xr3:uid="{00000000-0010-0000-0000-000013000000}" name="Advance Rent"/>
    <tableColumn id="20" xr3:uid="{00000000-0010-0000-0000-000014000000}" name="Current Tenancy Status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nitsBuilding" displayName="UnitsBuilding" ref="A1:L10">
  <autoFilter ref="A1:L10" xr:uid="{00000000-0009-0000-0100-000002000000}"/>
  <tableColumns count="12">
    <tableColumn id="1" xr3:uid="{00000000-0010-0000-0100-000001000000}" name="Unit ID"/>
    <tableColumn id="2" xr3:uid="{00000000-0010-0000-0100-000002000000}" name="Unit / Room No."/>
    <tableColumn id="3" xr3:uid="{00000000-0010-0000-0100-000003000000}" name="Floor"/>
    <tableColumn id="4" xr3:uid="{00000000-0010-0000-0100-000004000000}" name="Description"/>
    <tableColumn id="5" xr3:uid="{00000000-0010-0000-0100-000005000000}" name="Current Tenant ID"/>
    <tableColumn id="6" xr3:uid="{00000000-0010-0000-0100-000006000000}" name="Current Tenant Name"/>
    <tableColumn id="7" xr3:uid="{00000000-0010-0000-0100-000007000000}" name="Tenant Type"/>
    <tableColumn id="8" xr3:uid="{00000000-0010-0000-0100-000008000000}" name="Monthly Rent"/>
    <tableColumn id="9" xr3:uid="{00000000-0010-0000-0100-000009000000}" name="Occupancy Status"/>
    <tableColumn id="10" xr3:uid="{00000000-0010-0000-0100-00000A000000}" name="Agreement Start"/>
    <tableColumn id="11" xr3:uid="{00000000-0010-0000-0100-00000B000000}" name="Agreement End"/>
    <tableColumn id="12" xr3:uid="{00000000-0010-0000-0100-00000C000000}" name="Agreeme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idenceHistory" displayName="ResidenceHistory" ref="A1:V14">
  <autoFilter ref="A1:V14" xr:uid="{00000000-0009-0000-0100-000003000000}"/>
  <tableColumns count="22">
    <tableColumn id="1" xr3:uid="{00000000-0010-0000-0200-000001000000}" name="Residence ID"/>
    <tableColumn id="2" xr3:uid="{00000000-0010-0000-0200-000002000000}" name="Tenant ID"/>
    <tableColumn id="3" xr3:uid="{00000000-0010-0000-0200-000003000000}" name="Tenant Name"/>
    <tableColumn id="4" xr3:uid="{00000000-0010-0000-0200-000004000000}" name="Unit No."/>
    <tableColumn id="5" xr3:uid="{00000000-0010-0000-0200-000005000000}" name="Floor"/>
    <tableColumn id="6" xr3:uid="{00000000-0010-0000-0200-000006000000}" name="Residence Period No."/>
    <tableColumn id="7" xr3:uid="{00000000-0010-0000-0200-000007000000}" name="Move-in Date"/>
    <tableColumn id="8" xr3:uid="{00000000-0010-0000-0200-000008000000}" name="Move-out Date"/>
    <tableColumn id="9" xr3:uid="{00000000-0010-0000-0200-000009000000}" name="Duration (Days)"/>
    <tableColumn id="10" xr3:uid="{00000000-0010-0000-0200-00000A000000}" name="Duration (Months)"/>
    <tableColumn id="11" xr3:uid="{00000000-0010-0000-0200-00000B000000}" name="Duration (Years)"/>
    <tableColumn id="12" xr3:uid="{00000000-0010-0000-0200-00000C000000}" name="Monthly Rent During Stay"/>
    <tableColumn id="13" xr3:uid="{00000000-0010-0000-0200-00000D000000}" name="Security Deposit"/>
    <tableColumn id="14" xr3:uid="{00000000-0010-0000-0200-00000E000000}" name="Total Rent Due"/>
    <tableColumn id="15" xr3:uid="{00000000-0010-0000-0200-00000F000000}" name="Total Rent Paid"/>
    <tableColumn id="16" xr3:uid="{00000000-0010-0000-0200-000010000000}" name="Total Arrears"/>
    <tableColumn id="17" xr3:uid="{00000000-0010-0000-0200-000011000000}" name="Payment Status"/>
    <tableColumn id="18" xr3:uid="{00000000-0010-0000-0200-000012000000}" name="Agreement Start Date"/>
    <tableColumn id="19" xr3:uid="{00000000-0010-0000-0200-000013000000}" name="Agreement End Date"/>
    <tableColumn id="20" xr3:uid="{00000000-0010-0000-0200-000014000000}" name="Reason for Leaving"/>
    <tableColumn id="21" xr3:uid="{00000000-0010-0000-0200-000015000000}" name="Source File"/>
    <tableColumn id="22" xr3:uid="{00000000-0010-0000-0200-000016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ntCollection" displayName="RentCollection" ref="A1:U4">
  <autoFilter ref="A1:U4" xr:uid="{00000000-0009-0000-0100-000004000000}"/>
  <tableColumns count="21">
    <tableColumn id="1" xr3:uid="{00000000-0010-0000-0300-000001000000}" name="Payment ID"/>
    <tableColumn id="2" xr3:uid="{00000000-0010-0000-0300-000002000000}" name="Month"/>
    <tableColumn id="3" xr3:uid="{00000000-0010-0000-0300-000003000000}" name="Unit No."/>
    <tableColumn id="4" xr3:uid="{00000000-0010-0000-0300-000004000000}" name="Tenant ID"/>
    <tableColumn id="5" xr3:uid="{00000000-0010-0000-0300-000005000000}" name="Tenant Name"/>
    <tableColumn id="6" xr3:uid="{00000000-0010-0000-0300-000006000000}" name="Residence ID"/>
    <tableColumn id="7" xr3:uid="{00000000-0010-0000-0300-000007000000}" name="Monthly Rent"/>
    <tableColumn id="8" xr3:uid="{00000000-0010-0000-0300-000008000000}" name="Previous Arrears"/>
    <tableColumn id="9" xr3:uid="{00000000-0010-0000-0300-000009000000}" name="Other Charges"/>
    <tableColumn id="10" xr3:uid="{00000000-0010-0000-0300-00000A000000}" name="Late Fee"/>
    <tableColumn id="11" xr3:uid="{00000000-0010-0000-0300-00000B000000}" name="Total Due"/>
    <tableColumn id="12" xr3:uid="{00000000-0010-0000-0300-00000C000000}" name="Amount Paid"/>
    <tableColumn id="13" xr3:uid="{00000000-0010-0000-0300-00000D000000}" name="Balance"/>
    <tableColumn id="14" xr3:uid="{00000000-0010-0000-0300-00000E000000}" name="Payment Date"/>
    <tableColumn id="15" xr3:uid="{00000000-0010-0000-0300-00000F000000}" name="Payment Method"/>
    <tableColumn id="16" xr3:uid="{00000000-0010-0000-0300-000010000000}" name="Transaction / Receipt No."/>
    <tableColumn id="17" xr3:uid="{00000000-0010-0000-0300-000011000000}" name="Payment Status"/>
    <tableColumn id="18" xr3:uid="{00000000-0010-0000-0300-000012000000}" name="Late Days"/>
    <tableColumn id="19" xr3:uid="{00000000-0010-0000-0300-000013000000}" name="Source File"/>
    <tableColumn id="20" xr3:uid="{00000000-0010-0000-0300-000014000000}" name="Original Record Reference"/>
    <tableColumn id="21" xr3:uid="{00000000-0010-0000-0300-00001500000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ntalAgreements" displayName="RentalAgreements" ref="A1:R15">
  <autoFilter ref="A1:R15" xr:uid="{00000000-0009-0000-0100-000005000000}"/>
  <tableColumns count="18">
    <tableColumn id="1" xr3:uid="{00000000-0010-0000-0400-000001000000}" name="Agreement ID"/>
    <tableColumn id="2" xr3:uid="{00000000-0010-0000-0400-000002000000}" name="Tenant ID"/>
    <tableColumn id="3" xr3:uid="{00000000-0010-0000-0400-000003000000}" name="Tenant Name"/>
    <tableColumn id="4" xr3:uid="{00000000-0010-0000-0400-000004000000}" name="Unit No."/>
    <tableColumn id="5" xr3:uid="{00000000-0010-0000-0400-000005000000}" name="Residence ID"/>
    <tableColumn id="6" xr3:uid="{00000000-0010-0000-0400-000006000000}" name="Landlord"/>
    <tableColumn id="7" xr3:uid="{00000000-0010-0000-0400-000007000000}" name="Agreement Start Date"/>
    <tableColumn id="8" xr3:uid="{00000000-0010-0000-0400-000008000000}" name="Agreement End Date"/>
    <tableColumn id="9" xr3:uid="{00000000-0010-0000-0400-000009000000}" name="Monthly Rent"/>
    <tableColumn id="10" xr3:uid="{00000000-0010-0000-0400-00000A000000}" name="Security Deposit"/>
    <tableColumn id="11" xr3:uid="{00000000-0010-0000-0400-00000B000000}" name="Advance Rent"/>
    <tableColumn id="12" xr3:uid="{00000000-0010-0000-0400-00000C000000}" name="Rent Due Date"/>
    <tableColumn id="13" xr3:uid="{00000000-0010-0000-0400-00000D000000}" name="Witness ID(s)"/>
    <tableColumn id="14" xr3:uid="{00000000-0010-0000-0400-00000E000000}" name="Renewal Status"/>
    <tableColumn id="15" xr3:uid="{00000000-0010-0000-0400-00000F000000}" name="Agreement Status"/>
    <tableColumn id="16" xr3:uid="{00000000-0010-0000-0400-000010000000}" name="Document Reference"/>
    <tableColumn id="17" xr3:uid="{00000000-0010-0000-0400-000011000000}" name="Source File"/>
    <tableColumn id="18" xr3:uid="{00000000-0010-0000-0400-000012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itnessRecords" displayName="WitnessRecords" ref="A1:O15">
  <autoFilter ref="A1:O15" xr:uid="{00000000-0009-0000-0100-000006000000}"/>
  <tableColumns count="15">
    <tableColumn id="1" xr3:uid="{00000000-0010-0000-0500-000001000000}" name="Witness ID"/>
    <tableColumn id="2" xr3:uid="{00000000-0010-0000-0500-000002000000}" name="Tenant ID"/>
    <tableColumn id="3" xr3:uid="{00000000-0010-0000-0500-000003000000}" name="Tenant Name"/>
    <tableColumn id="4" xr3:uid="{00000000-0010-0000-0500-000004000000}" name="Residence ID"/>
    <tableColumn id="5" xr3:uid="{00000000-0010-0000-0500-000005000000}" name="Agreement ID"/>
    <tableColumn id="6" xr3:uid="{00000000-0010-0000-0500-000006000000}" name="Witness Name"/>
    <tableColumn id="7" xr3:uid="{00000000-0010-0000-0500-000007000000}" name="Witness Phone"/>
    <tableColumn id="8" xr3:uid="{00000000-0010-0000-0500-000008000000}" name="Witness Address"/>
    <tableColumn id="9" xr3:uid="{00000000-0010-0000-0500-000009000000}" name="Witness ID Type"/>
    <tableColumn id="10" xr3:uid="{00000000-0010-0000-0500-00000A000000}" name="Witness ID Reference"/>
    <tableColumn id="11" xr3:uid="{00000000-0010-0000-0500-00000B000000}" name="Relationship / Role"/>
    <tableColumn id="12" xr3:uid="{00000000-0010-0000-0500-00000C000000}" name="Document / Agreement Reference"/>
    <tableColumn id="13" xr3:uid="{00000000-0010-0000-0500-00000D000000}" name="Date"/>
    <tableColumn id="14" xr3:uid="{00000000-0010-0000-0500-00000E000000}" name="Source File"/>
    <tableColumn id="15" xr3:uid="{00000000-0010-0000-0500-00000F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positsAdvances" displayName="DepositsAdvances" ref="A1:P14">
  <autoFilter ref="A1:P14" xr:uid="{00000000-0009-0000-0100-000007000000}"/>
  <tableColumns count="16">
    <tableColumn id="1" xr3:uid="{00000000-0010-0000-0600-000001000000}" name="Deposit/Advance ID"/>
    <tableColumn id="2" xr3:uid="{00000000-0010-0000-0600-000002000000}" name="Tenant ID"/>
    <tableColumn id="3" xr3:uid="{00000000-0010-0000-0600-000003000000}" name="Tenant Name"/>
    <tableColumn id="4" xr3:uid="{00000000-0010-0000-0600-000004000000}" name="Unit No."/>
    <tableColumn id="5" xr3:uid="{00000000-0010-0000-0600-000005000000}" name="Residence ID"/>
    <tableColumn id="6" xr3:uid="{00000000-0010-0000-0600-000006000000}" name="Security Deposit"/>
    <tableColumn id="7" xr3:uid="{00000000-0010-0000-0600-000007000000}" name="Deposit Date"/>
    <tableColumn id="8" xr3:uid="{00000000-0010-0000-0600-000008000000}" name="Advance Rent"/>
    <tableColumn id="9" xr3:uid="{00000000-0010-0000-0600-000009000000}" name="Advance Date"/>
    <tableColumn id="10" xr3:uid="{00000000-0010-0000-0600-00000A000000}" name="Deposit Adjusted"/>
    <tableColumn id="11" xr3:uid="{00000000-0010-0000-0600-00000B000000}" name="Refund Date"/>
    <tableColumn id="12" xr3:uid="{00000000-0010-0000-0600-00000C000000}" name="Refund Amount"/>
    <tableColumn id="13" xr3:uid="{00000000-0010-0000-0600-00000D000000}" name="Remaining Deposit"/>
    <tableColumn id="14" xr3:uid="{00000000-0010-0000-0600-00000E000000}" name="Status"/>
    <tableColumn id="15" xr3:uid="{00000000-0010-0000-0600-00000F000000}" name="Source File"/>
    <tableColumn id="16" xr3:uid="{00000000-0010-0000-0600-000010000000}" name="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UtilitiesCharges" displayName="UtilitiesCharges" ref="A1:R4">
  <autoFilter ref="A1:R4" xr:uid="{00000000-0009-0000-0100-000008000000}"/>
  <tableColumns count="18">
    <tableColumn id="1" xr3:uid="{00000000-0010-0000-0700-000001000000}" name="Month"/>
    <tableColumn id="2" xr3:uid="{00000000-0010-0000-0700-000002000000}" name="Unit No."/>
    <tableColumn id="3" xr3:uid="{00000000-0010-0000-0700-000003000000}" name="Tenant Name"/>
    <tableColumn id="4" xr3:uid="{00000000-0010-0000-0700-000004000000}" name="Electricity Previous Reading"/>
    <tableColumn id="5" xr3:uid="{00000000-0010-0000-0700-000005000000}" name="Electricity Current Reading"/>
    <tableColumn id="6" xr3:uid="{00000000-0010-0000-0700-000006000000}" name="Units Consumed"/>
    <tableColumn id="7" xr3:uid="{00000000-0010-0000-0700-000007000000}" name="Electricity Rate"/>
    <tableColumn id="8" xr3:uid="{00000000-0010-0000-0700-000008000000}" name="Electricity Amount"/>
    <tableColumn id="9" xr3:uid="{00000000-0010-0000-0700-000009000000}" name="Water Charge"/>
    <tableColumn id="10" xr3:uid="{00000000-0010-0000-0700-00000A000000}" name="Maintenance Charge"/>
    <tableColumn id="11" xr3:uid="{00000000-0010-0000-0700-00000B000000}" name="Parking Charge"/>
    <tableColumn id="12" xr3:uid="{00000000-0010-0000-0700-00000C000000}" name="Other Charge"/>
    <tableColumn id="13" xr3:uid="{00000000-0010-0000-0700-00000D000000}" name="Total Charges"/>
    <tableColumn id="14" xr3:uid="{00000000-0010-0000-0700-00000E000000}" name="Amount Paid"/>
    <tableColumn id="15" xr3:uid="{00000000-0010-0000-0700-00000F000000}" name="Balance"/>
    <tableColumn id="16" xr3:uid="{00000000-0010-0000-0700-000010000000}" name="Payment Date"/>
    <tableColumn id="17" xr3:uid="{00000000-0010-0000-0700-000011000000}" name="Payment Method"/>
    <tableColumn id="18" xr3:uid="{00000000-0010-0000-0700-000012000000}" name="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uildingExpenses" displayName="BuildingExpenses" ref="A1:L2">
  <autoFilter ref="A1:L2" xr:uid="{00000000-0009-0000-0100-000009000000}"/>
  <tableColumns count="12">
    <tableColumn id="1" xr3:uid="{00000000-0010-0000-0800-000001000000}" name="Expense ID"/>
    <tableColumn id="2" xr3:uid="{00000000-0010-0000-0800-000002000000}" name="Date"/>
    <tableColumn id="3" xr3:uid="{00000000-0010-0000-0800-000003000000}" name="Expense Category"/>
    <tableColumn id="4" xr3:uid="{00000000-0010-0000-0800-000004000000}" name="Description"/>
    <tableColumn id="5" xr3:uid="{00000000-0010-0000-0800-000005000000}" name="Unit / Common Area"/>
    <tableColumn id="6" xr3:uid="{00000000-0010-0000-0800-000006000000}" name="Vendor / Person"/>
    <tableColumn id="7" xr3:uid="{00000000-0010-0000-0800-000007000000}" name="Amount"/>
    <tableColumn id="8" xr3:uid="{00000000-0010-0000-0800-000008000000}" name="Payment Method"/>
    <tableColumn id="9" xr3:uid="{00000000-0010-0000-0800-000009000000}" name="Invoice / Receipt No."/>
    <tableColumn id="10" xr3:uid="{00000000-0010-0000-0800-00000A000000}" name="Paid By"/>
    <tableColumn id="11" xr3:uid="{00000000-0010-0000-0800-00000B000000}" name="Source File"/>
    <tableColumn id="12" xr3:uid="{00000000-0010-0000-0800-00000C000000}" name="Remark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enantHistorySummary" displayName="TenantHistorySummary" ref="A1:O12">
  <autoFilter ref="A1:O12" xr:uid="{00000000-0009-0000-0100-00000A000000}"/>
  <tableColumns count="15">
    <tableColumn id="1" xr3:uid="{00000000-0010-0000-0900-000001000000}" name="Tenant ID"/>
    <tableColumn id="2" xr3:uid="{00000000-0010-0000-0900-000002000000}" name="Tenant Name"/>
    <tableColumn id="3" xr3:uid="{00000000-0010-0000-0900-000003000000}" name="Current Unit"/>
    <tableColumn id="4" xr3:uid="{00000000-0010-0000-0900-000004000000}" name="Current Rent"/>
    <tableColumn id="5" xr3:uid="{00000000-0010-0000-0900-000005000000}" name="Current Status"/>
    <tableColumn id="6" xr3:uid="{00000000-0010-0000-0900-000006000000}" name="Number of Stays"/>
    <tableColumn id="7" xr3:uid="{00000000-0010-0000-0900-000007000000}" name="Total Residence (Months)"/>
    <tableColumn id="8" xr3:uid="{00000000-0010-0000-0900-000008000000}" name="Previous Units"/>
    <tableColumn id="9" xr3:uid="{00000000-0010-0000-0900-000009000000}" name="Total Rent Due"/>
    <tableColumn id="10" xr3:uid="{00000000-0010-0000-0900-00000A000000}" name="Total Rent Paid"/>
    <tableColumn id="11" xr3:uid="{00000000-0010-0000-0900-00000B000000}" name="Total Outstanding"/>
    <tableColumn id="12" xr3:uid="{00000000-0010-0000-0900-00000C000000}" name="Total Deposits"/>
    <tableColumn id="13" xr3:uid="{00000000-0010-0000-0900-00000D000000}" name="Number of Agreements"/>
    <tableColumn id="14" xr3:uid="{00000000-0010-0000-0900-00000E000000}" name="Agreement Status"/>
    <tableColumn id="15" xr3:uid="{00000000-0010-0000-0900-00000F000000}" name="Payment History Summ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ReviewIssues" displayName="DataReviewIssues" ref="A1:K16">
  <autoFilter ref="A1:K16" xr:uid="{00000000-0009-0000-0100-00000B000000}"/>
  <tableColumns count="11">
    <tableColumn id="1" xr3:uid="{00000000-0010-0000-0A00-000001000000}" name="Issue ID"/>
    <tableColumn id="2" xr3:uid="{00000000-0010-0000-0A00-000002000000}" name="Category"/>
    <tableColumn id="3" xr3:uid="{00000000-0010-0000-0A00-000003000000}" name="Description"/>
    <tableColumn id="4" xr3:uid="{00000000-0010-0000-0A00-000004000000}" name="Source File"/>
    <tableColumn id="5" xr3:uid="{00000000-0010-0000-0A00-000005000000}" name="Source Record"/>
    <tableColumn id="6" xr3:uid="{00000000-0010-0000-0A00-000006000000}" name="Related Tenant ID"/>
    <tableColumn id="7" xr3:uid="{00000000-0010-0000-0A00-000007000000}" name="Related Unit"/>
    <tableColumn id="8" xr3:uid="{00000000-0010-0000-0A00-000008000000}" name="Severity"/>
    <tableColumn id="9" xr3:uid="{00000000-0010-0000-0A00-000009000000}" name="Suggested Action"/>
    <tableColumn id="10" xr3:uid="{00000000-0010-0000-0A00-00000A000000}" name="Status"/>
    <tableColumn id="11" xr3:uid="{00000000-0010-0000-0A00-00000B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awRentData" displayName="RawRentData" ref="A1:M15">
  <autoFilter ref="A1:M15" xr:uid="{00000000-0009-0000-0100-00000C000000}"/>
  <tableColumns count="13">
    <tableColumn id="1" xr3:uid="{00000000-0010-0000-0B00-000001000000}" name="Contract #"/>
    <tableColumn id="2" xr3:uid="{00000000-0010-0000-0B00-000002000000}" name="Tenant Name"/>
    <tableColumn id="3" xr3:uid="{00000000-0010-0000-0B00-000003000000}" name="Unit / Room No."/>
    <tableColumn id="4" xr3:uid="{00000000-0010-0000-0B00-000004000000}" name="Tenant Type"/>
    <tableColumn id="5" xr3:uid="{00000000-0010-0000-0B00-000005000000}" name="Permanent Address"/>
    <tableColumn id="6" xr3:uid="{00000000-0010-0000-0B00-000006000000}" name="Agreement Start Date"/>
    <tableColumn id="7" xr3:uid="{00000000-0010-0000-0B00-000007000000}" name="Agreement End Date"/>
    <tableColumn id="8" xr3:uid="{00000000-0010-0000-0B00-000008000000}" name="Duration"/>
    <tableColumn id="9" xr3:uid="{00000000-0010-0000-0B00-000009000000}" name="Monthly Rent"/>
    <tableColumn id="10" xr3:uid="{00000000-0010-0000-0B00-00000A000000}" name="Security Deposit"/>
    <tableColumn id="11" xr3:uid="{00000000-0010-0000-0B00-00000B000000}" name="Rent Due Date"/>
    <tableColumn id="12" xr3:uid="{00000000-0010-0000-0B00-00000C000000}" name="Landlord Name"/>
    <tableColumn id="13" xr3:uid="{00000000-0010-0000-0B00-00000D000000}" name="Notes / Summ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awWitnessData" displayName="RawWitnessData" ref="A1:I15">
  <autoFilter ref="A1:I15" xr:uid="{00000000-0009-0000-0100-00000D000000}"/>
  <tableColumns count="9">
    <tableColumn id="1" xr3:uid="{00000000-0010-0000-0C00-000001000000}" name="Contract #"/>
    <tableColumn id="2" xr3:uid="{00000000-0010-0000-0C00-000002000000}" name="Tenant Name"/>
    <tableColumn id="3" xr3:uid="{00000000-0010-0000-0C00-000003000000}" name="Unit(s)"/>
    <tableColumn id="4" xr3:uid="{00000000-0010-0000-0C00-000004000000}" name="Agreement Year"/>
    <tableColumn id="5" xr3:uid="{00000000-0010-0000-0C00-000005000000}" name="Witness 1 Name"/>
    <tableColumn id="6" xr3:uid="{00000000-0010-0000-0C00-000006000000}" name="Witness 1 Address"/>
    <tableColumn id="7" xr3:uid="{00000000-0010-0000-0C00-000007000000}" name="Witness 2 Name"/>
    <tableColumn id="8" xr3:uid="{00000000-0010-0000-0C00-000008000000}" name="Witness 2 Address"/>
    <tableColumn id="9" xr3:uid="{00000000-0010-0000-0C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H60"/>
  <sheetViews>
    <sheetView tabSelected="1" workbookViewId="0">
      <selection sqref="A1:H1"/>
    </sheetView>
  </sheetViews>
  <sheetFormatPr defaultRowHeight="14.4" x14ac:dyDescent="0.3"/>
  <cols>
    <col min="1" max="1" width="32" customWidth="1"/>
    <col min="2" max="4" width="22" customWidth="1"/>
    <col min="5" max="6" width="18" customWidth="1"/>
    <col min="7" max="7" width="16" customWidth="1"/>
    <col min="8" max="8" width="14" customWidth="1"/>
  </cols>
  <sheetData>
    <row r="1" spans="1:8" ht="40.049999999999997" customHeight="1" x14ac:dyDescent="0.3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3">
      <c r="A2" s="25" t="s">
        <v>1</v>
      </c>
      <c r="B2" s="23"/>
      <c r="C2" s="23"/>
      <c r="D2" s="23"/>
      <c r="E2" s="23"/>
      <c r="F2" s="23"/>
      <c r="G2" s="23"/>
      <c r="H2" s="23"/>
    </row>
    <row r="3" spans="1:8" x14ac:dyDescent="0.3">
      <c r="A3" s="24" t="s">
        <v>2</v>
      </c>
      <c r="B3" s="23"/>
      <c r="C3" s="23"/>
    </row>
    <row r="4" spans="1:8" ht="17.399999999999999" x14ac:dyDescent="0.35">
      <c r="A4" s="1" t="s">
        <v>3</v>
      </c>
      <c r="C4" s="2">
        <v>9</v>
      </c>
    </row>
    <row r="5" spans="1:8" ht="17.399999999999999" x14ac:dyDescent="0.35">
      <c r="A5" s="1" t="s">
        <v>4</v>
      </c>
      <c r="C5" s="2">
        <v>3</v>
      </c>
    </row>
    <row r="6" spans="1:8" ht="17.399999999999999" x14ac:dyDescent="0.35">
      <c r="A6" s="1" t="s">
        <v>5</v>
      </c>
      <c r="C6" s="2">
        <v>6</v>
      </c>
    </row>
    <row r="7" spans="1:8" ht="17.399999999999999" x14ac:dyDescent="0.35">
      <c r="A7" s="1" t="s">
        <v>6</v>
      </c>
      <c r="C7" s="3">
        <v>0.33333333333333331</v>
      </c>
    </row>
    <row r="8" spans="1:8" x14ac:dyDescent="0.3">
      <c r="A8" s="24" t="s">
        <v>7</v>
      </c>
      <c r="B8" s="23"/>
      <c r="C8" s="23"/>
    </row>
    <row r="9" spans="1:8" ht="17.399999999999999" x14ac:dyDescent="0.35">
      <c r="A9" s="1" t="s">
        <v>8</v>
      </c>
      <c r="C9" s="2">
        <v>3</v>
      </c>
    </row>
    <row r="10" spans="1:8" ht="17.399999999999999" x14ac:dyDescent="0.35">
      <c r="A10" s="1" t="s">
        <v>9</v>
      </c>
      <c r="C10" s="2">
        <v>8</v>
      </c>
    </row>
    <row r="11" spans="1:8" ht="17.399999999999999" x14ac:dyDescent="0.35">
      <c r="A11" s="1" t="s">
        <v>10</v>
      </c>
      <c r="C11" s="2">
        <v>11</v>
      </c>
    </row>
    <row r="12" spans="1:8" x14ac:dyDescent="0.3">
      <c r="A12" s="24" t="s">
        <v>11</v>
      </c>
      <c r="B12" s="23"/>
      <c r="C12" s="23"/>
    </row>
    <row r="13" spans="1:8" ht="17.399999999999999" x14ac:dyDescent="0.35">
      <c r="A13" s="1" t="s">
        <v>12</v>
      </c>
      <c r="C13" s="4">
        <v>10200</v>
      </c>
    </row>
    <row r="14" spans="1:8" ht="17.399999999999999" x14ac:dyDescent="0.35">
      <c r="A14" s="1" t="s">
        <v>13</v>
      </c>
      <c r="C14" s="4">
        <v>50000</v>
      </c>
    </row>
    <row r="15" spans="1:8" x14ac:dyDescent="0.3">
      <c r="A15" s="24" t="s">
        <v>14</v>
      </c>
      <c r="B15" s="23"/>
      <c r="C15" s="23"/>
    </row>
    <row r="16" spans="1:8" ht="17.399999999999999" x14ac:dyDescent="0.35">
      <c r="A16" s="1" t="s">
        <v>15</v>
      </c>
      <c r="C16" s="2">
        <v>3</v>
      </c>
    </row>
    <row r="17" spans="1:7" ht="17.399999999999999" x14ac:dyDescent="0.35">
      <c r="A17" s="1" t="s">
        <v>16</v>
      </c>
      <c r="C17" s="2">
        <v>11</v>
      </c>
    </row>
    <row r="18" spans="1:7" ht="17.399999999999999" x14ac:dyDescent="0.35">
      <c r="A18" s="1" t="s">
        <v>17</v>
      </c>
      <c r="C18" s="2">
        <v>14</v>
      </c>
    </row>
    <row r="19" spans="1:7" ht="17.399999999999999" x14ac:dyDescent="0.35">
      <c r="A19" s="1" t="s">
        <v>18</v>
      </c>
      <c r="C19" s="2">
        <v>1</v>
      </c>
    </row>
    <row r="22" spans="1:7" ht="15.6" x14ac:dyDescent="0.3">
      <c r="A22" s="26" t="s">
        <v>19</v>
      </c>
      <c r="B22" s="23"/>
      <c r="C22" s="23"/>
      <c r="D22" s="23"/>
      <c r="E22" s="23"/>
      <c r="F22" s="23"/>
      <c r="G22" s="23"/>
    </row>
    <row r="23" spans="1:7" x14ac:dyDescent="0.3">
      <c r="A23" s="5" t="s">
        <v>20</v>
      </c>
      <c r="B23" s="5" t="s">
        <v>21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26</v>
      </c>
    </row>
    <row r="24" spans="1:7" x14ac:dyDescent="0.3">
      <c r="B24" s="6"/>
      <c r="C24" s="6"/>
      <c r="D24" s="6" t="str">
        <f t="shared" ref="D24:D35" si="0">IF(B24="","",B24-IF(C24="",0,C24))</f>
        <v/>
      </c>
      <c r="E24" s="6"/>
      <c r="F24" s="6" t="str">
        <f t="shared" ref="F24:F35" si="1">IF(C24="","",C24-IF(E24="",0,E24))</f>
        <v/>
      </c>
      <c r="G24" s="7" t="str">
        <f t="shared" ref="G24:G35" si="2">IF(OR(B24="",B24=0),"",C24/B24)</f>
        <v/>
      </c>
    </row>
    <row r="25" spans="1:7" x14ac:dyDescent="0.3">
      <c r="B25" s="6"/>
      <c r="C25" s="6"/>
      <c r="D25" s="6" t="str">
        <f t="shared" si="0"/>
        <v/>
      </c>
      <c r="E25" s="6"/>
      <c r="F25" s="6" t="str">
        <f t="shared" si="1"/>
        <v/>
      </c>
      <c r="G25" s="7" t="str">
        <f t="shared" si="2"/>
        <v/>
      </c>
    </row>
    <row r="26" spans="1:7" x14ac:dyDescent="0.3">
      <c r="B26" s="6"/>
      <c r="C26" s="6"/>
      <c r="D26" s="6" t="str">
        <f t="shared" si="0"/>
        <v/>
      </c>
      <c r="E26" s="6"/>
      <c r="F26" s="6" t="str">
        <f t="shared" si="1"/>
        <v/>
      </c>
      <c r="G26" s="7" t="str">
        <f t="shared" si="2"/>
        <v/>
      </c>
    </row>
    <row r="27" spans="1:7" x14ac:dyDescent="0.3">
      <c r="B27" s="6"/>
      <c r="C27" s="6"/>
      <c r="D27" s="6" t="str">
        <f t="shared" si="0"/>
        <v/>
      </c>
      <c r="E27" s="6"/>
      <c r="F27" s="6" t="str">
        <f t="shared" si="1"/>
        <v/>
      </c>
      <c r="G27" s="7" t="str">
        <f t="shared" si="2"/>
        <v/>
      </c>
    </row>
    <row r="28" spans="1:7" x14ac:dyDescent="0.3">
      <c r="B28" s="6"/>
      <c r="C28" s="6"/>
      <c r="D28" s="6" t="str">
        <f t="shared" si="0"/>
        <v/>
      </c>
      <c r="E28" s="6"/>
      <c r="F28" s="6" t="str">
        <f t="shared" si="1"/>
        <v/>
      </c>
      <c r="G28" s="7" t="str">
        <f t="shared" si="2"/>
        <v/>
      </c>
    </row>
    <row r="29" spans="1:7" x14ac:dyDescent="0.3">
      <c r="B29" s="6"/>
      <c r="C29" s="6"/>
      <c r="D29" s="6" t="str">
        <f t="shared" si="0"/>
        <v/>
      </c>
      <c r="E29" s="6"/>
      <c r="F29" s="6" t="str">
        <f t="shared" si="1"/>
        <v/>
      </c>
      <c r="G29" s="7" t="str">
        <f t="shared" si="2"/>
        <v/>
      </c>
    </row>
    <row r="30" spans="1:7" x14ac:dyDescent="0.3">
      <c r="B30" s="6"/>
      <c r="C30" s="6"/>
      <c r="D30" s="6" t="str">
        <f t="shared" si="0"/>
        <v/>
      </c>
      <c r="E30" s="6"/>
      <c r="F30" s="6" t="str">
        <f t="shared" si="1"/>
        <v/>
      </c>
      <c r="G30" s="7" t="str">
        <f t="shared" si="2"/>
        <v/>
      </c>
    </row>
    <row r="31" spans="1:7" x14ac:dyDescent="0.3">
      <c r="B31" s="6"/>
      <c r="C31" s="6"/>
      <c r="D31" s="6" t="str">
        <f t="shared" si="0"/>
        <v/>
      </c>
      <c r="E31" s="6"/>
      <c r="F31" s="6" t="str">
        <f t="shared" si="1"/>
        <v/>
      </c>
      <c r="G31" s="7" t="str">
        <f t="shared" si="2"/>
        <v/>
      </c>
    </row>
    <row r="32" spans="1:7" x14ac:dyDescent="0.3">
      <c r="B32" s="6"/>
      <c r="C32" s="6"/>
      <c r="D32" s="6" t="str">
        <f t="shared" si="0"/>
        <v/>
      </c>
      <c r="E32" s="6"/>
      <c r="F32" s="6" t="str">
        <f t="shared" si="1"/>
        <v/>
      </c>
      <c r="G32" s="7" t="str">
        <f t="shared" si="2"/>
        <v/>
      </c>
    </row>
    <row r="33" spans="1:7" x14ac:dyDescent="0.3">
      <c r="B33" s="6"/>
      <c r="C33" s="6"/>
      <c r="D33" s="6" t="str">
        <f t="shared" si="0"/>
        <v/>
      </c>
      <c r="E33" s="6"/>
      <c r="F33" s="6" t="str">
        <f t="shared" si="1"/>
        <v/>
      </c>
      <c r="G33" s="7" t="str">
        <f t="shared" si="2"/>
        <v/>
      </c>
    </row>
    <row r="34" spans="1:7" x14ac:dyDescent="0.3">
      <c r="B34" s="6"/>
      <c r="C34" s="6"/>
      <c r="D34" s="6" t="str">
        <f t="shared" si="0"/>
        <v/>
      </c>
      <c r="E34" s="6"/>
      <c r="F34" s="6" t="str">
        <f t="shared" si="1"/>
        <v/>
      </c>
      <c r="G34" s="7" t="str">
        <f t="shared" si="2"/>
        <v/>
      </c>
    </row>
    <row r="35" spans="1:7" x14ac:dyDescent="0.3">
      <c r="B35" s="6"/>
      <c r="C35" s="6"/>
      <c r="D35" s="6" t="str">
        <f t="shared" si="0"/>
        <v/>
      </c>
      <c r="E35" s="6"/>
      <c r="F35" s="6" t="str">
        <f t="shared" si="1"/>
        <v/>
      </c>
      <c r="G35" s="7" t="str">
        <f t="shared" si="2"/>
        <v/>
      </c>
    </row>
    <row r="38" spans="1:7" ht="15.6" x14ac:dyDescent="0.3">
      <c r="A38" s="22" t="s">
        <v>27</v>
      </c>
      <c r="B38" s="23"/>
      <c r="C38" s="23"/>
      <c r="D38" s="23"/>
      <c r="E38" s="23"/>
      <c r="F38" s="23"/>
    </row>
    <row r="39" spans="1:7" x14ac:dyDescent="0.3">
      <c r="A39" s="8" t="s">
        <v>28</v>
      </c>
      <c r="B39" s="8" t="s">
        <v>29</v>
      </c>
      <c r="C39" s="8" t="s">
        <v>30</v>
      </c>
      <c r="D39" s="8" t="s">
        <v>31</v>
      </c>
      <c r="E39" s="8" t="s">
        <v>32</v>
      </c>
      <c r="F39" s="8" t="s">
        <v>33</v>
      </c>
    </row>
    <row r="40" spans="1:7" x14ac:dyDescent="0.3">
      <c r="A40" s="9" t="s">
        <v>34</v>
      </c>
      <c r="B40" s="9" t="s">
        <v>35</v>
      </c>
      <c r="C40" s="9" t="s">
        <v>36</v>
      </c>
      <c r="D40" s="10">
        <v>3000</v>
      </c>
      <c r="E40" s="11">
        <v>46483</v>
      </c>
      <c r="F40" s="12">
        <v>221</v>
      </c>
    </row>
    <row r="41" spans="1:7" x14ac:dyDescent="0.3">
      <c r="A41" s="9" t="s">
        <v>37</v>
      </c>
      <c r="B41" s="9" t="s">
        <v>38</v>
      </c>
      <c r="C41" s="9" t="s">
        <v>39</v>
      </c>
      <c r="D41" s="10">
        <v>3000</v>
      </c>
      <c r="E41" s="11">
        <v>46427</v>
      </c>
      <c r="F41" s="12">
        <v>165</v>
      </c>
    </row>
    <row r="42" spans="1:7" x14ac:dyDescent="0.3">
      <c r="A42" s="9" t="s">
        <v>40</v>
      </c>
      <c r="B42" s="9" t="s">
        <v>41</v>
      </c>
      <c r="C42" s="9" t="s">
        <v>42</v>
      </c>
      <c r="D42" s="10">
        <v>4200</v>
      </c>
      <c r="E42" s="11">
        <v>46314</v>
      </c>
      <c r="F42" s="13">
        <v>52</v>
      </c>
    </row>
    <row r="48" spans="1:7" x14ac:dyDescent="0.3">
      <c r="A48" t="s">
        <v>43</v>
      </c>
      <c r="B48">
        <v>3</v>
      </c>
    </row>
    <row r="49" spans="1:2" x14ac:dyDescent="0.3">
      <c r="A49" t="s">
        <v>44</v>
      </c>
      <c r="B49">
        <v>6</v>
      </c>
    </row>
    <row r="51" spans="1:2" x14ac:dyDescent="0.3">
      <c r="A51" t="s">
        <v>45</v>
      </c>
      <c r="B51">
        <v>3</v>
      </c>
    </row>
    <row r="52" spans="1:2" x14ac:dyDescent="0.3">
      <c r="A52" t="s">
        <v>46</v>
      </c>
      <c r="B52">
        <v>11</v>
      </c>
    </row>
    <row r="54" spans="1:2" x14ac:dyDescent="0.3">
      <c r="A54" t="s">
        <v>35</v>
      </c>
      <c r="B54">
        <v>3000</v>
      </c>
    </row>
    <row r="55" spans="1:2" x14ac:dyDescent="0.3">
      <c r="A55" t="s">
        <v>38</v>
      </c>
      <c r="B55">
        <v>3000</v>
      </c>
    </row>
    <row r="56" spans="1:2" x14ac:dyDescent="0.3">
      <c r="A56" t="s">
        <v>41</v>
      </c>
      <c r="B56">
        <v>4200</v>
      </c>
    </row>
    <row r="59" spans="1:2" x14ac:dyDescent="0.3">
      <c r="A59" t="s">
        <v>47</v>
      </c>
      <c r="B59">
        <v>5</v>
      </c>
    </row>
    <row r="60" spans="1:2" x14ac:dyDescent="0.3">
      <c r="A60" t="s">
        <v>48</v>
      </c>
      <c r="B60">
        <v>6</v>
      </c>
    </row>
  </sheetData>
  <mergeCells count="8">
    <mergeCell ref="A1:H1"/>
    <mergeCell ref="A12:C12"/>
    <mergeCell ref="A15:C15"/>
    <mergeCell ref="A38:F38"/>
    <mergeCell ref="A8:C8"/>
    <mergeCell ref="A2:H2"/>
    <mergeCell ref="A22:G2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U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4" width="15" customWidth="1"/>
    <col min="5" max="5" width="20" customWidth="1"/>
    <col min="6" max="6" width="40" customWidth="1"/>
    <col min="7" max="7" width="30" customWidth="1"/>
    <col min="8" max="9" width="15" customWidth="1"/>
    <col min="10" max="10" width="20" customWidth="1"/>
    <col min="11" max="12" width="14" customWidth="1"/>
    <col min="13" max="13" width="22" customWidth="1"/>
    <col min="14" max="14" width="18" customWidth="1"/>
    <col min="15" max="15" width="22" customWidth="1"/>
    <col min="16" max="16" width="18" customWidth="1"/>
    <col min="17" max="18" width="16" customWidth="1"/>
    <col min="19" max="19" width="14" customWidth="1"/>
    <col min="20" max="20" width="16" customWidth="1"/>
    <col min="21" max="21" width="40" customWidth="1"/>
  </cols>
  <sheetData>
    <row r="1" spans="1:21" ht="28.8" x14ac:dyDescent="0.3">
      <c r="A1" s="14" t="s">
        <v>28</v>
      </c>
      <c r="B1" s="14" t="s">
        <v>29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14" t="s">
        <v>59</v>
      </c>
      <c r="N1" s="14" t="s">
        <v>60</v>
      </c>
      <c r="O1" s="14" t="s">
        <v>61</v>
      </c>
      <c r="P1" s="14" t="s">
        <v>62</v>
      </c>
      <c r="Q1" s="14" t="s">
        <v>63</v>
      </c>
      <c r="R1" s="14" t="s">
        <v>64</v>
      </c>
      <c r="S1" s="14" t="s">
        <v>65</v>
      </c>
      <c r="T1" s="14" t="s">
        <v>66</v>
      </c>
      <c r="U1" s="14" t="s">
        <v>67</v>
      </c>
    </row>
    <row r="2" spans="1:21" ht="27.6" x14ac:dyDescent="0.3">
      <c r="A2" s="15" t="s">
        <v>68</v>
      </c>
      <c r="B2" s="15" t="s">
        <v>69</v>
      </c>
      <c r="C2" s="15"/>
      <c r="D2" s="15"/>
      <c r="E2" s="15"/>
      <c r="F2" s="15" t="s">
        <v>70</v>
      </c>
      <c r="G2" s="15"/>
      <c r="H2" s="15"/>
      <c r="I2" s="15"/>
      <c r="J2" s="15"/>
      <c r="K2" s="15" t="s">
        <v>47</v>
      </c>
      <c r="L2" s="15"/>
      <c r="M2" s="15"/>
      <c r="N2" s="15"/>
      <c r="O2" s="15" t="s">
        <v>71</v>
      </c>
      <c r="P2" s="15"/>
      <c r="Q2" s="16"/>
      <c r="R2" s="16">
        <v>20000</v>
      </c>
      <c r="S2" s="16"/>
      <c r="T2" s="15" t="s">
        <v>72</v>
      </c>
      <c r="U2" s="15" t="s">
        <v>73</v>
      </c>
    </row>
    <row r="3" spans="1:21" ht="69" x14ac:dyDescent="0.3">
      <c r="A3" s="15" t="s">
        <v>74</v>
      </c>
      <c r="B3" s="15" t="s">
        <v>75</v>
      </c>
      <c r="C3" s="15"/>
      <c r="D3" s="15"/>
      <c r="E3" s="15"/>
      <c r="F3" s="15" t="s">
        <v>76</v>
      </c>
      <c r="G3" s="15"/>
      <c r="H3" s="15"/>
      <c r="I3" s="15"/>
      <c r="J3" s="15"/>
      <c r="K3" s="15" t="s">
        <v>48</v>
      </c>
      <c r="L3" s="15"/>
      <c r="M3" s="15"/>
      <c r="N3" s="15"/>
      <c r="O3" s="15" t="s">
        <v>77</v>
      </c>
      <c r="P3" s="15"/>
      <c r="Q3" s="16"/>
      <c r="R3" s="16">
        <v>75000</v>
      </c>
      <c r="S3" s="16"/>
      <c r="T3" s="15" t="s">
        <v>72</v>
      </c>
      <c r="U3" s="15" t="s">
        <v>78</v>
      </c>
    </row>
    <row r="4" spans="1:21" ht="27.6" x14ac:dyDescent="0.3">
      <c r="A4" s="15" t="s">
        <v>79</v>
      </c>
      <c r="B4" s="15" t="s">
        <v>80</v>
      </c>
      <c r="C4" s="15"/>
      <c r="D4" s="15"/>
      <c r="E4" s="15"/>
      <c r="F4" s="15" t="s">
        <v>81</v>
      </c>
      <c r="G4" s="15"/>
      <c r="H4" s="15"/>
      <c r="I4" s="15"/>
      <c r="J4" s="15"/>
      <c r="K4" s="15" t="s">
        <v>47</v>
      </c>
      <c r="L4" s="15"/>
      <c r="M4" s="15"/>
      <c r="N4" s="15"/>
      <c r="O4" s="15" t="s">
        <v>82</v>
      </c>
      <c r="P4" s="15"/>
      <c r="Q4" s="16"/>
      <c r="R4" s="16">
        <v>20000</v>
      </c>
      <c r="S4" s="16"/>
      <c r="T4" s="15" t="s">
        <v>72</v>
      </c>
      <c r="U4" s="15" t="s">
        <v>83</v>
      </c>
    </row>
    <row r="5" spans="1:21" ht="27.6" x14ac:dyDescent="0.3">
      <c r="A5" s="15" t="s">
        <v>84</v>
      </c>
      <c r="B5" s="15" t="s">
        <v>85</v>
      </c>
      <c r="C5" s="15"/>
      <c r="D5" s="15"/>
      <c r="E5" s="15"/>
      <c r="F5" s="15" t="s">
        <v>86</v>
      </c>
      <c r="G5" s="15"/>
      <c r="H5" s="15"/>
      <c r="I5" s="15"/>
      <c r="J5" s="15"/>
      <c r="K5" s="15" t="s">
        <v>47</v>
      </c>
      <c r="L5" s="15"/>
      <c r="M5" s="15"/>
      <c r="N5" s="15"/>
      <c r="O5" s="15" t="s">
        <v>87</v>
      </c>
      <c r="P5" s="15"/>
      <c r="Q5" s="16"/>
      <c r="R5" s="16">
        <v>30000</v>
      </c>
      <c r="S5" s="16"/>
      <c r="T5" s="15" t="s">
        <v>72</v>
      </c>
      <c r="U5" s="15" t="s">
        <v>88</v>
      </c>
    </row>
    <row r="6" spans="1:21" ht="27.6" x14ac:dyDescent="0.3">
      <c r="A6" s="15" t="s">
        <v>34</v>
      </c>
      <c r="B6" s="15" t="s">
        <v>35</v>
      </c>
      <c r="C6" s="15"/>
      <c r="D6" s="15"/>
      <c r="E6" s="15"/>
      <c r="F6" s="15" t="s">
        <v>89</v>
      </c>
      <c r="G6" s="15"/>
      <c r="H6" s="15"/>
      <c r="I6" s="15"/>
      <c r="J6" s="15"/>
      <c r="K6" s="15" t="s">
        <v>48</v>
      </c>
      <c r="L6" s="15"/>
      <c r="M6" s="15"/>
      <c r="N6" s="15"/>
      <c r="O6" s="15" t="s">
        <v>36</v>
      </c>
      <c r="P6" s="17">
        <v>46149</v>
      </c>
      <c r="Q6" s="16">
        <v>3000</v>
      </c>
      <c r="R6" s="16">
        <v>20000</v>
      </c>
      <c r="S6" s="16"/>
      <c r="T6" s="15" t="s">
        <v>45</v>
      </c>
      <c r="U6" s="15" t="s">
        <v>90</v>
      </c>
    </row>
    <row r="7" spans="1:21" ht="41.4" x14ac:dyDescent="0.3">
      <c r="A7" s="15" t="s">
        <v>91</v>
      </c>
      <c r="B7" s="15" t="s">
        <v>92</v>
      </c>
      <c r="C7" s="15"/>
      <c r="D7" s="15"/>
      <c r="E7" s="15"/>
      <c r="F7" s="15" t="s">
        <v>93</v>
      </c>
      <c r="G7" s="15"/>
      <c r="H7" s="15"/>
      <c r="I7" s="15"/>
      <c r="J7" s="15"/>
      <c r="K7" s="15" t="s">
        <v>48</v>
      </c>
      <c r="L7" s="15"/>
      <c r="M7" s="15"/>
      <c r="N7" s="15"/>
      <c r="O7" s="15" t="s">
        <v>94</v>
      </c>
      <c r="P7" s="15"/>
      <c r="Q7" s="16"/>
      <c r="R7" s="16">
        <v>18000</v>
      </c>
      <c r="S7" s="16"/>
      <c r="T7" s="15" t="s">
        <v>72</v>
      </c>
      <c r="U7" s="15" t="s">
        <v>95</v>
      </c>
    </row>
    <row r="8" spans="1:21" x14ac:dyDescent="0.3">
      <c r="A8" s="15" t="s">
        <v>96</v>
      </c>
      <c r="B8" s="15" t="s">
        <v>97</v>
      </c>
      <c r="C8" s="15"/>
      <c r="D8" s="15"/>
      <c r="E8" s="15"/>
      <c r="F8" s="15" t="s">
        <v>98</v>
      </c>
      <c r="G8" s="15"/>
      <c r="H8" s="15"/>
      <c r="I8" s="15"/>
      <c r="J8" s="15"/>
      <c r="K8" s="15" t="s">
        <v>48</v>
      </c>
      <c r="L8" s="15"/>
      <c r="M8" s="15"/>
      <c r="N8" s="15"/>
      <c r="O8" s="15" t="s">
        <v>99</v>
      </c>
      <c r="P8" s="15"/>
      <c r="Q8" s="16"/>
      <c r="R8" s="16">
        <v>20000</v>
      </c>
      <c r="S8" s="16"/>
      <c r="T8" s="15" t="s">
        <v>72</v>
      </c>
      <c r="U8" s="15" t="s">
        <v>100</v>
      </c>
    </row>
    <row r="9" spans="1:21" ht="27.6" x14ac:dyDescent="0.3">
      <c r="A9" s="15" t="s">
        <v>37</v>
      </c>
      <c r="B9" s="15" t="s">
        <v>38</v>
      </c>
      <c r="C9" s="15"/>
      <c r="D9" s="15"/>
      <c r="E9" s="15"/>
      <c r="F9" s="15" t="s">
        <v>101</v>
      </c>
      <c r="G9" s="15"/>
      <c r="H9" s="15"/>
      <c r="I9" s="15"/>
      <c r="J9" s="15"/>
      <c r="K9" s="15" t="s">
        <v>48</v>
      </c>
      <c r="L9" s="15"/>
      <c r="M9" s="15"/>
      <c r="N9" s="15"/>
      <c r="O9" s="15" t="s">
        <v>39</v>
      </c>
      <c r="P9" s="17">
        <v>46091</v>
      </c>
      <c r="Q9" s="16">
        <v>3000</v>
      </c>
      <c r="R9" s="16">
        <v>15000</v>
      </c>
      <c r="S9" s="16"/>
      <c r="T9" s="15" t="s">
        <v>45</v>
      </c>
      <c r="U9" s="15" t="s">
        <v>102</v>
      </c>
    </row>
    <row r="10" spans="1:21" ht="27.6" x14ac:dyDescent="0.3">
      <c r="A10" s="15" t="s">
        <v>40</v>
      </c>
      <c r="B10" s="15" t="s">
        <v>41</v>
      </c>
      <c r="C10" s="15"/>
      <c r="D10" s="15"/>
      <c r="E10" s="15"/>
      <c r="F10" s="15" t="s">
        <v>103</v>
      </c>
      <c r="G10" s="15"/>
      <c r="H10" s="15"/>
      <c r="I10" s="15"/>
      <c r="J10" s="15"/>
      <c r="K10" s="15" t="s">
        <v>47</v>
      </c>
      <c r="L10" s="15"/>
      <c r="M10" s="15"/>
      <c r="N10" s="15"/>
      <c r="O10" s="15" t="s">
        <v>42</v>
      </c>
      <c r="P10" s="17">
        <v>45980</v>
      </c>
      <c r="Q10" s="16">
        <v>4200</v>
      </c>
      <c r="R10" s="16">
        <v>15000</v>
      </c>
      <c r="S10" s="16"/>
      <c r="T10" s="15" t="s">
        <v>45</v>
      </c>
      <c r="U10" s="15" t="s">
        <v>104</v>
      </c>
    </row>
    <row r="11" spans="1:21" ht="41.4" x14ac:dyDescent="0.3">
      <c r="A11" s="15" t="s">
        <v>105</v>
      </c>
      <c r="B11" s="15" t="s">
        <v>106</v>
      </c>
      <c r="C11" s="15"/>
      <c r="D11" s="15"/>
      <c r="E11" s="15"/>
      <c r="F11" s="15" t="s">
        <v>107</v>
      </c>
      <c r="G11" s="15"/>
      <c r="H11" s="15"/>
      <c r="I11" s="15"/>
      <c r="J11" s="15"/>
      <c r="K11" s="15" t="s">
        <v>47</v>
      </c>
      <c r="L11" s="15"/>
      <c r="M11" s="15"/>
      <c r="N11" s="15"/>
      <c r="O11" s="15" t="s">
        <v>42</v>
      </c>
      <c r="P11" s="15"/>
      <c r="Q11" s="16"/>
      <c r="R11" s="16">
        <v>20000</v>
      </c>
      <c r="S11" s="16"/>
      <c r="T11" s="15" t="s">
        <v>72</v>
      </c>
      <c r="U11" s="15" t="s">
        <v>108</v>
      </c>
    </row>
    <row r="12" spans="1:21" ht="27.6" x14ac:dyDescent="0.3">
      <c r="A12" s="15" t="s">
        <v>109</v>
      </c>
      <c r="B12" s="15" t="s">
        <v>110</v>
      </c>
      <c r="C12" s="15"/>
      <c r="D12" s="15"/>
      <c r="E12" s="15"/>
      <c r="F12" s="15" t="s">
        <v>111</v>
      </c>
      <c r="G12" s="15"/>
      <c r="H12" s="15"/>
      <c r="I12" s="15"/>
      <c r="J12" s="15"/>
      <c r="K12" s="15" t="s">
        <v>48</v>
      </c>
      <c r="L12" s="15"/>
      <c r="M12" s="15"/>
      <c r="N12" s="15"/>
      <c r="O12" s="15" t="s">
        <v>112</v>
      </c>
      <c r="P12" s="15"/>
      <c r="Q12" s="16"/>
      <c r="R12" s="16">
        <v>20000</v>
      </c>
      <c r="S12" s="16"/>
      <c r="T12" s="15" t="s">
        <v>72</v>
      </c>
      <c r="U12" s="15" t="s">
        <v>113</v>
      </c>
    </row>
  </sheetData>
  <conditionalFormatting sqref="T2:T62">
    <cfRule type="cellIs" dxfId="22" priority="1" operator="equal">
      <formula>"Active"</formula>
    </cfRule>
    <cfRule type="cellIs" dxfId="21" priority="2" operator="equal">
      <formula>"Inactive"</formula>
    </cfRule>
    <cfRule type="cellIs" dxfId="20" priority="3" operator="equal">
      <formula>"Vacated"</formula>
    </cfRule>
  </conditionalFormatting>
  <dataValidations count="4">
    <dataValidation type="list" allowBlank="1" errorTitle="Invalid Tenant Type" error="Please select Residential or Commercial" sqref="K2:K62" xr:uid="{00000000-0002-0000-0100-000000000000}">
      <formula1>"Residential,Commercial"</formula1>
    </dataValidation>
    <dataValidation type="list" allowBlank="1" sqref="I2:I62" xr:uid="{00000000-0002-0000-0100-000001000000}">
      <formula1>"Yes,No"</formula1>
    </dataValidation>
    <dataValidation type="list" allowBlank="1" sqref="T2:T62" xr:uid="{00000000-0002-0000-0100-000002000000}">
      <formula1>"Active,Inactive,Vacated,Evicted"</formula1>
    </dataValidation>
    <dataValidation type="list" allowBlank="1" sqref="H2:H62" xr:uid="{00000000-0002-0000-0100-000003000000}">
      <formula1>"Aadhaar,PAN,Voter ID,Passport,Driving License,Other"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0" customWidth="1"/>
    <col min="4" max="4" width="45" customWidth="1"/>
    <col min="5" max="5" width="16" customWidth="1"/>
    <col min="6" max="6" width="22" customWidth="1"/>
    <col min="7" max="7" width="14" customWidth="1"/>
    <col min="8" max="12" width="16" customWidth="1"/>
  </cols>
  <sheetData>
    <row r="1" spans="1:12" ht="28.8" x14ac:dyDescent="0.3">
      <c r="A1" s="14" t="s">
        <v>114</v>
      </c>
      <c r="B1" s="14" t="s">
        <v>115</v>
      </c>
      <c r="C1" s="14" t="s">
        <v>116</v>
      </c>
      <c r="D1" s="14" t="s">
        <v>117</v>
      </c>
      <c r="E1" s="14" t="s">
        <v>118</v>
      </c>
      <c r="F1" s="14" t="s">
        <v>119</v>
      </c>
      <c r="G1" s="14" t="s">
        <v>57</v>
      </c>
      <c r="H1" s="14" t="s">
        <v>31</v>
      </c>
      <c r="I1" s="14" t="s">
        <v>120</v>
      </c>
      <c r="J1" s="14" t="s">
        <v>121</v>
      </c>
      <c r="K1" s="14" t="s">
        <v>32</v>
      </c>
      <c r="L1" s="14" t="s">
        <v>122</v>
      </c>
    </row>
    <row r="2" spans="1:12" x14ac:dyDescent="0.3">
      <c r="A2" s="15" t="s">
        <v>123</v>
      </c>
      <c r="B2" s="15" t="s">
        <v>39</v>
      </c>
      <c r="C2" s="15" t="s">
        <v>124</v>
      </c>
      <c r="D2" s="15" t="s">
        <v>125</v>
      </c>
      <c r="E2" s="15" t="s">
        <v>37</v>
      </c>
      <c r="F2" s="15" t="s">
        <v>38</v>
      </c>
      <c r="G2" s="15" t="s">
        <v>48</v>
      </c>
      <c r="H2" s="16">
        <v>3000</v>
      </c>
      <c r="I2" s="15" t="s">
        <v>43</v>
      </c>
      <c r="J2" s="18">
        <v>46091</v>
      </c>
      <c r="K2" s="18">
        <v>46427</v>
      </c>
      <c r="L2" s="15" t="s">
        <v>45</v>
      </c>
    </row>
    <row r="3" spans="1:12" x14ac:dyDescent="0.3">
      <c r="A3" s="15" t="s">
        <v>126</v>
      </c>
      <c r="B3" s="15" t="s">
        <v>99</v>
      </c>
      <c r="C3" s="15" t="s">
        <v>124</v>
      </c>
      <c r="D3" s="15" t="s">
        <v>127</v>
      </c>
      <c r="E3" s="15"/>
      <c r="F3" s="15"/>
      <c r="G3" s="15"/>
      <c r="H3" s="16"/>
      <c r="I3" s="15" t="s">
        <v>44</v>
      </c>
      <c r="J3" s="15"/>
      <c r="K3" s="15"/>
      <c r="L3" s="15"/>
    </row>
    <row r="4" spans="1:12" x14ac:dyDescent="0.3">
      <c r="A4" s="15" t="s">
        <v>128</v>
      </c>
      <c r="B4" s="15" t="s">
        <v>112</v>
      </c>
      <c r="C4" s="15" t="s">
        <v>124</v>
      </c>
      <c r="D4" s="15" t="s">
        <v>129</v>
      </c>
      <c r="E4" s="15"/>
      <c r="F4" s="15"/>
      <c r="G4" s="15"/>
      <c r="H4" s="16"/>
      <c r="I4" s="15" t="s">
        <v>44</v>
      </c>
      <c r="J4" s="15"/>
      <c r="K4" s="15"/>
      <c r="L4" s="15"/>
    </row>
    <row r="5" spans="1:12" x14ac:dyDescent="0.3">
      <c r="A5" s="15" t="s">
        <v>130</v>
      </c>
      <c r="B5" s="15" t="s">
        <v>94</v>
      </c>
      <c r="C5" s="15" t="s">
        <v>124</v>
      </c>
      <c r="D5" s="15" t="s">
        <v>131</v>
      </c>
      <c r="E5" s="15"/>
      <c r="F5" s="15"/>
      <c r="G5" s="15"/>
      <c r="H5" s="16"/>
      <c r="I5" s="15" t="s">
        <v>44</v>
      </c>
      <c r="J5" s="15"/>
      <c r="K5" s="15"/>
      <c r="L5" s="15"/>
    </row>
    <row r="6" spans="1:12" x14ac:dyDescent="0.3">
      <c r="A6" s="15" t="s">
        <v>132</v>
      </c>
      <c r="B6" s="15" t="s">
        <v>36</v>
      </c>
      <c r="C6" s="15" t="s">
        <v>124</v>
      </c>
      <c r="D6" s="15" t="s">
        <v>129</v>
      </c>
      <c r="E6" s="15" t="s">
        <v>34</v>
      </c>
      <c r="F6" s="15" t="s">
        <v>35</v>
      </c>
      <c r="G6" s="15" t="s">
        <v>48</v>
      </c>
      <c r="H6" s="16">
        <v>3000</v>
      </c>
      <c r="I6" s="15" t="s">
        <v>43</v>
      </c>
      <c r="J6" s="18">
        <v>46149</v>
      </c>
      <c r="K6" s="18">
        <v>46483</v>
      </c>
      <c r="L6" s="15" t="s">
        <v>45</v>
      </c>
    </row>
    <row r="7" spans="1:12" x14ac:dyDescent="0.3">
      <c r="A7" s="15" t="s">
        <v>133</v>
      </c>
      <c r="B7" s="15" t="s">
        <v>71</v>
      </c>
      <c r="C7" s="15" t="s">
        <v>124</v>
      </c>
      <c r="D7" s="15" t="s">
        <v>134</v>
      </c>
      <c r="E7" s="15"/>
      <c r="F7" s="15"/>
      <c r="G7" s="15"/>
      <c r="H7" s="16"/>
      <c r="I7" s="15" t="s">
        <v>44</v>
      </c>
      <c r="J7" s="15"/>
      <c r="K7" s="15"/>
      <c r="L7" s="15"/>
    </row>
    <row r="8" spans="1:12" x14ac:dyDescent="0.3">
      <c r="A8" s="15" t="s">
        <v>135</v>
      </c>
      <c r="B8" s="15" t="s">
        <v>82</v>
      </c>
      <c r="C8" s="15" t="s">
        <v>124</v>
      </c>
      <c r="D8" s="15" t="s">
        <v>136</v>
      </c>
      <c r="E8" s="15"/>
      <c r="F8" s="15"/>
      <c r="G8" s="15"/>
      <c r="H8" s="16"/>
      <c r="I8" s="15" t="s">
        <v>44</v>
      </c>
      <c r="J8" s="15"/>
      <c r="K8" s="15"/>
      <c r="L8" s="15"/>
    </row>
    <row r="9" spans="1:12" x14ac:dyDescent="0.3">
      <c r="A9" s="15" t="s">
        <v>137</v>
      </c>
      <c r="B9" s="15" t="s">
        <v>42</v>
      </c>
      <c r="C9" s="15" t="s">
        <v>138</v>
      </c>
      <c r="D9" s="15" t="s">
        <v>139</v>
      </c>
      <c r="E9" s="15" t="s">
        <v>40</v>
      </c>
      <c r="F9" s="15" t="s">
        <v>41</v>
      </c>
      <c r="G9" s="15" t="s">
        <v>47</v>
      </c>
      <c r="H9" s="16">
        <v>4200</v>
      </c>
      <c r="I9" s="15" t="s">
        <v>43</v>
      </c>
      <c r="J9" s="18">
        <v>45980</v>
      </c>
      <c r="K9" s="18">
        <v>46314</v>
      </c>
      <c r="L9" s="15" t="s">
        <v>45</v>
      </c>
    </row>
    <row r="10" spans="1:12" x14ac:dyDescent="0.3">
      <c r="A10" s="15" t="s">
        <v>140</v>
      </c>
      <c r="B10" s="15" t="s">
        <v>87</v>
      </c>
      <c r="C10" s="15" t="s">
        <v>124</v>
      </c>
      <c r="D10" s="15" t="s">
        <v>141</v>
      </c>
      <c r="E10" s="15"/>
      <c r="F10" s="15"/>
      <c r="G10" s="15"/>
      <c r="H10" s="16"/>
      <c r="I10" s="15" t="s">
        <v>44</v>
      </c>
      <c r="J10" s="15"/>
      <c r="K10" s="15"/>
      <c r="L10" s="15"/>
    </row>
  </sheetData>
  <conditionalFormatting sqref="I2:I60">
    <cfRule type="cellIs" dxfId="19" priority="1" operator="equal">
      <formula>"Occupied"</formula>
    </cfRule>
    <cfRule type="cellIs" dxfId="18" priority="2" operator="equal">
      <formula>"Vacant"</formula>
    </cfRule>
  </conditionalFormatting>
  <dataValidations count="1">
    <dataValidation type="list" allowBlank="1" sqref="I2:I60" xr:uid="{00000000-0002-0000-0200-000000000000}">
      <formula1>"Occupied,Vacant,Under Maintenance"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V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28" customWidth="1"/>
    <col min="5" max="5" width="10" customWidth="1"/>
    <col min="6" max="6" width="12" customWidth="1"/>
    <col min="7" max="8" width="16" customWidth="1"/>
    <col min="9" max="11" width="14" customWidth="1"/>
    <col min="12" max="12" width="18" customWidth="1"/>
    <col min="13" max="17" width="16" customWidth="1"/>
    <col min="18" max="19" width="18" customWidth="1"/>
    <col min="20" max="20" width="25" customWidth="1"/>
    <col min="21" max="21" width="30" customWidth="1"/>
    <col min="22" max="22" width="40" customWidth="1"/>
  </cols>
  <sheetData>
    <row r="1" spans="1:22" ht="28.8" x14ac:dyDescent="0.3">
      <c r="A1" s="14" t="s">
        <v>142</v>
      </c>
      <c r="B1" s="14" t="s">
        <v>28</v>
      </c>
      <c r="C1" s="14" t="s">
        <v>29</v>
      </c>
      <c r="D1" s="14" t="s">
        <v>30</v>
      </c>
      <c r="E1" s="14" t="s">
        <v>116</v>
      </c>
      <c r="F1" s="14" t="s">
        <v>143</v>
      </c>
      <c r="G1" s="14" t="s">
        <v>144</v>
      </c>
      <c r="H1" s="14" t="s">
        <v>145</v>
      </c>
      <c r="I1" s="14" t="s">
        <v>146</v>
      </c>
      <c r="J1" s="14" t="s">
        <v>147</v>
      </c>
      <c r="K1" s="14" t="s">
        <v>148</v>
      </c>
      <c r="L1" s="14" t="s">
        <v>149</v>
      </c>
      <c r="M1" s="14" t="s">
        <v>64</v>
      </c>
      <c r="N1" s="14" t="s">
        <v>21</v>
      </c>
      <c r="O1" s="14" t="s">
        <v>150</v>
      </c>
      <c r="P1" s="14" t="s">
        <v>151</v>
      </c>
      <c r="Q1" s="14" t="s">
        <v>152</v>
      </c>
      <c r="R1" s="14" t="s">
        <v>153</v>
      </c>
      <c r="S1" s="14" t="s">
        <v>154</v>
      </c>
      <c r="T1" s="14" t="s">
        <v>155</v>
      </c>
      <c r="U1" s="14" t="s">
        <v>156</v>
      </c>
      <c r="V1" s="14" t="s">
        <v>157</v>
      </c>
    </row>
    <row r="2" spans="1:22" x14ac:dyDescent="0.3">
      <c r="A2" s="15" t="s">
        <v>158</v>
      </c>
      <c r="B2" s="15" t="s">
        <v>68</v>
      </c>
      <c r="C2" s="15" t="s">
        <v>69</v>
      </c>
      <c r="D2" s="15" t="s">
        <v>71</v>
      </c>
      <c r="E2" s="15" t="s">
        <v>124</v>
      </c>
      <c r="F2" s="15">
        <v>1</v>
      </c>
      <c r="G2" s="17">
        <v>44531</v>
      </c>
      <c r="H2" s="17">
        <v>44865</v>
      </c>
      <c r="I2" s="19">
        <f t="shared" ref="I2:I14" ca="1" si="0">IF(H2="",TODAY()-G2,H2-G2)</f>
        <v>334</v>
      </c>
      <c r="J2" s="20">
        <f t="shared" ref="J2:J14" ca="1" si="1">ROUND(I2/30.44,1)</f>
        <v>11</v>
      </c>
      <c r="K2" s="21">
        <f t="shared" ref="K2:K14" ca="1" si="2">ROUND(I2/365.25,2)</f>
        <v>0.91</v>
      </c>
      <c r="L2" s="16">
        <v>4000</v>
      </c>
      <c r="M2" s="16">
        <v>20000</v>
      </c>
      <c r="N2" s="16">
        <f t="shared" ref="N2:N14" ca="1" si="3">ROUND(J2,0)*L2</f>
        <v>44000</v>
      </c>
      <c r="O2" s="16"/>
      <c r="P2" s="16" t="str">
        <f t="shared" ref="P2:P14" si="4">IF(O2="","",N2-O2)</f>
        <v/>
      </c>
      <c r="Q2" s="15" t="str">
        <f t="shared" ref="Q2:Q14" si="5">IF(O2="","No Payment Data",IF(P2&lt;=0,"Paid",IF(O2&gt;0,"Partial","Pending")))</f>
        <v>No Payment Data</v>
      </c>
      <c r="R2" s="17">
        <v>44531</v>
      </c>
      <c r="S2" s="17">
        <v>44865</v>
      </c>
      <c r="T2" s="15" t="s">
        <v>159</v>
      </c>
      <c r="U2" s="15" t="s">
        <v>160</v>
      </c>
      <c r="V2" s="15"/>
    </row>
    <row r="3" spans="1:22" ht="41.4" x14ac:dyDescent="0.3">
      <c r="A3" s="15" t="s">
        <v>161</v>
      </c>
      <c r="B3" s="15" t="s">
        <v>74</v>
      </c>
      <c r="C3" s="15" t="s">
        <v>75</v>
      </c>
      <c r="D3" s="15" t="s">
        <v>77</v>
      </c>
      <c r="E3" s="15" t="s">
        <v>124</v>
      </c>
      <c r="F3" s="15">
        <v>2</v>
      </c>
      <c r="G3" s="17">
        <v>44439</v>
      </c>
      <c r="H3" s="17">
        <v>45732</v>
      </c>
      <c r="I3" s="19">
        <f t="shared" ca="1" si="0"/>
        <v>1293</v>
      </c>
      <c r="J3" s="20">
        <f t="shared" ca="1" si="1"/>
        <v>42.5</v>
      </c>
      <c r="K3" s="21">
        <f t="shared" ca="1" si="2"/>
        <v>3.54</v>
      </c>
      <c r="L3" s="16">
        <v>18000</v>
      </c>
      <c r="M3" s="16">
        <v>125000</v>
      </c>
      <c r="N3" s="16">
        <f t="shared" ca="1" si="3"/>
        <v>774000</v>
      </c>
      <c r="O3" s="16"/>
      <c r="P3" s="16" t="str">
        <f t="shared" si="4"/>
        <v/>
      </c>
      <c r="Q3" s="15" t="str">
        <f t="shared" si="5"/>
        <v>No Payment Data</v>
      </c>
      <c r="R3" s="17">
        <v>44439</v>
      </c>
      <c r="S3" s="17">
        <v>45732</v>
      </c>
      <c r="T3" s="15" t="s">
        <v>162</v>
      </c>
      <c r="U3" s="15" t="s">
        <v>163</v>
      </c>
      <c r="V3" s="15" t="s">
        <v>164</v>
      </c>
    </row>
    <row r="4" spans="1:22" x14ac:dyDescent="0.3">
      <c r="A4" s="15" t="s">
        <v>165</v>
      </c>
      <c r="B4" s="15" t="s">
        <v>79</v>
      </c>
      <c r="C4" s="15" t="s">
        <v>80</v>
      </c>
      <c r="D4" s="15" t="s">
        <v>82</v>
      </c>
      <c r="E4" s="15" t="s">
        <v>124</v>
      </c>
      <c r="F4" s="15">
        <v>1</v>
      </c>
      <c r="G4" s="17">
        <v>43647</v>
      </c>
      <c r="H4" s="17">
        <v>43982</v>
      </c>
      <c r="I4" s="19">
        <f t="shared" ca="1" si="0"/>
        <v>335</v>
      </c>
      <c r="J4" s="20">
        <f t="shared" ca="1" si="1"/>
        <v>11</v>
      </c>
      <c r="K4" s="21">
        <f t="shared" ca="1" si="2"/>
        <v>0.92</v>
      </c>
      <c r="L4" s="16">
        <v>4000</v>
      </c>
      <c r="M4" s="16">
        <v>20000</v>
      </c>
      <c r="N4" s="16">
        <f t="shared" ca="1" si="3"/>
        <v>44000</v>
      </c>
      <c r="O4" s="16"/>
      <c r="P4" s="16" t="str">
        <f t="shared" si="4"/>
        <v/>
      </c>
      <c r="Q4" s="15" t="str">
        <f t="shared" si="5"/>
        <v>No Payment Data</v>
      </c>
      <c r="R4" s="17">
        <v>43647</v>
      </c>
      <c r="S4" s="17">
        <v>43982</v>
      </c>
      <c r="T4" s="15" t="s">
        <v>159</v>
      </c>
      <c r="U4" s="15" t="s">
        <v>166</v>
      </c>
      <c r="V4" s="15"/>
    </row>
    <row r="5" spans="1:22" ht="41.4" x14ac:dyDescent="0.3">
      <c r="A5" s="15" t="s">
        <v>167</v>
      </c>
      <c r="B5" s="15" t="s">
        <v>74</v>
      </c>
      <c r="C5" s="15" t="s">
        <v>75</v>
      </c>
      <c r="D5" s="15" t="s">
        <v>112</v>
      </c>
      <c r="E5" s="15" t="s">
        <v>124</v>
      </c>
      <c r="F5" s="15">
        <v>1</v>
      </c>
      <c r="G5" s="17">
        <v>42583</v>
      </c>
      <c r="H5" s="17">
        <v>42917</v>
      </c>
      <c r="I5" s="19">
        <f t="shared" ca="1" si="0"/>
        <v>334</v>
      </c>
      <c r="J5" s="20">
        <f t="shared" ca="1" si="1"/>
        <v>11</v>
      </c>
      <c r="K5" s="21">
        <f t="shared" ca="1" si="2"/>
        <v>0.91</v>
      </c>
      <c r="L5" s="16">
        <v>600</v>
      </c>
      <c r="M5" s="16">
        <v>75000</v>
      </c>
      <c r="N5" s="16">
        <f t="shared" ca="1" si="3"/>
        <v>6600</v>
      </c>
      <c r="O5" s="16"/>
      <c r="P5" s="16" t="str">
        <f t="shared" si="4"/>
        <v/>
      </c>
      <c r="Q5" s="15" t="str">
        <f t="shared" si="5"/>
        <v>No Payment Data</v>
      </c>
      <c r="R5" s="17">
        <v>42583</v>
      </c>
      <c r="S5" s="17">
        <v>42917</v>
      </c>
      <c r="T5" s="15" t="s">
        <v>159</v>
      </c>
      <c r="U5" s="15" t="s">
        <v>168</v>
      </c>
      <c r="V5" s="15" t="s">
        <v>169</v>
      </c>
    </row>
    <row r="6" spans="1:22" x14ac:dyDescent="0.3">
      <c r="A6" s="15" t="s">
        <v>170</v>
      </c>
      <c r="B6" s="15" t="s">
        <v>84</v>
      </c>
      <c r="C6" s="15" t="s">
        <v>85</v>
      </c>
      <c r="D6" s="15" t="s">
        <v>87</v>
      </c>
      <c r="E6" s="15" t="s">
        <v>124</v>
      </c>
      <c r="F6" s="15">
        <v>1</v>
      </c>
      <c r="G6" s="17">
        <v>44742</v>
      </c>
      <c r="H6" s="17">
        <v>45075</v>
      </c>
      <c r="I6" s="19">
        <f t="shared" ca="1" si="0"/>
        <v>333</v>
      </c>
      <c r="J6" s="20">
        <f t="shared" ca="1" si="1"/>
        <v>10.9</v>
      </c>
      <c r="K6" s="21">
        <f t="shared" ca="1" si="2"/>
        <v>0.91</v>
      </c>
      <c r="L6" s="16">
        <v>10000</v>
      </c>
      <c r="M6" s="16">
        <v>30000</v>
      </c>
      <c r="N6" s="16">
        <f t="shared" ca="1" si="3"/>
        <v>110000</v>
      </c>
      <c r="O6" s="16"/>
      <c r="P6" s="16" t="str">
        <f t="shared" si="4"/>
        <v/>
      </c>
      <c r="Q6" s="15" t="str">
        <f t="shared" si="5"/>
        <v>No Payment Data</v>
      </c>
      <c r="R6" s="17">
        <v>44742</v>
      </c>
      <c r="S6" s="17">
        <v>45075</v>
      </c>
      <c r="T6" s="15" t="s">
        <v>159</v>
      </c>
      <c r="U6" s="15" t="s">
        <v>171</v>
      </c>
      <c r="V6" s="15" t="s">
        <v>172</v>
      </c>
    </row>
    <row r="7" spans="1:22" x14ac:dyDescent="0.3">
      <c r="A7" s="15" t="s">
        <v>173</v>
      </c>
      <c r="B7" s="15" t="s">
        <v>34</v>
      </c>
      <c r="C7" s="15" t="s">
        <v>35</v>
      </c>
      <c r="D7" s="15" t="s">
        <v>36</v>
      </c>
      <c r="E7" s="15" t="s">
        <v>124</v>
      </c>
      <c r="F7" s="15">
        <v>1</v>
      </c>
      <c r="G7" s="17">
        <v>46149</v>
      </c>
      <c r="H7" s="15"/>
      <c r="I7" s="19">
        <f t="shared" ca="1" si="0"/>
        <v>113</v>
      </c>
      <c r="J7" s="20">
        <f t="shared" ca="1" si="1"/>
        <v>3.7</v>
      </c>
      <c r="K7" s="21">
        <f t="shared" ca="1" si="2"/>
        <v>0.31</v>
      </c>
      <c r="L7" s="16">
        <v>3000</v>
      </c>
      <c r="M7" s="16">
        <v>20000</v>
      </c>
      <c r="N7" s="16">
        <f t="shared" ca="1" si="3"/>
        <v>12000</v>
      </c>
      <c r="O7" s="16"/>
      <c r="P7" s="16" t="str">
        <f t="shared" si="4"/>
        <v/>
      </c>
      <c r="Q7" s="15" t="str">
        <f t="shared" si="5"/>
        <v>No Payment Data</v>
      </c>
      <c r="R7" s="17">
        <v>46149</v>
      </c>
      <c r="S7" s="17">
        <v>46483</v>
      </c>
      <c r="T7" s="15"/>
      <c r="U7" s="15" t="s">
        <v>174</v>
      </c>
      <c r="V7" s="15" t="s">
        <v>175</v>
      </c>
    </row>
    <row r="8" spans="1:22" x14ac:dyDescent="0.3">
      <c r="A8" s="15" t="s">
        <v>176</v>
      </c>
      <c r="B8" s="15" t="s">
        <v>91</v>
      </c>
      <c r="C8" s="15" t="s">
        <v>92</v>
      </c>
      <c r="D8" s="15" t="s">
        <v>94</v>
      </c>
      <c r="E8" s="15" t="s">
        <v>124</v>
      </c>
      <c r="F8" s="15">
        <v>2</v>
      </c>
      <c r="G8" s="17">
        <v>45505</v>
      </c>
      <c r="H8" s="17">
        <v>45838</v>
      </c>
      <c r="I8" s="19">
        <f t="shared" ca="1" si="0"/>
        <v>333</v>
      </c>
      <c r="J8" s="20">
        <f t="shared" ca="1" si="1"/>
        <v>10.9</v>
      </c>
      <c r="K8" s="21">
        <f t="shared" ca="1" si="2"/>
        <v>0.91</v>
      </c>
      <c r="L8" s="16">
        <v>3200</v>
      </c>
      <c r="M8" s="16">
        <v>18000</v>
      </c>
      <c r="N8" s="16">
        <f t="shared" ca="1" si="3"/>
        <v>35200</v>
      </c>
      <c r="O8" s="16"/>
      <c r="P8" s="16" t="str">
        <f t="shared" si="4"/>
        <v/>
      </c>
      <c r="Q8" s="15" t="str">
        <f t="shared" si="5"/>
        <v>No Payment Data</v>
      </c>
      <c r="R8" s="17">
        <v>45505</v>
      </c>
      <c r="S8" s="17">
        <v>45838</v>
      </c>
      <c r="T8" s="15" t="s">
        <v>159</v>
      </c>
      <c r="U8" s="15" t="s">
        <v>177</v>
      </c>
      <c r="V8" s="15" t="s">
        <v>178</v>
      </c>
    </row>
    <row r="9" spans="1:22" x14ac:dyDescent="0.3">
      <c r="A9" s="15" t="s">
        <v>179</v>
      </c>
      <c r="B9" s="15" t="s">
        <v>96</v>
      </c>
      <c r="C9" s="15" t="s">
        <v>97</v>
      </c>
      <c r="D9" s="15" t="s">
        <v>99</v>
      </c>
      <c r="E9" s="15" t="s">
        <v>124</v>
      </c>
      <c r="F9" s="15">
        <v>1</v>
      </c>
      <c r="G9" s="17">
        <v>44440</v>
      </c>
      <c r="H9" s="17">
        <v>44804</v>
      </c>
      <c r="I9" s="19">
        <f t="shared" ca="1" si="0"/>
        <v>364</v>
      </c>
      <c r="J9" s="20">
        <f t="shared" ca="1" si="1"/>
        <v>12</v>
      </c>
      <c r="K9" s="21">
        <f t="shared" ca="1" si="2"/>
        <v>1</v>
      </c>
      <c r="L9" s="16">
        <v>3000</v>
      </c>
      <c r="M9" s="16">
        <v>20000</v>
      </c>
      <c r="N9" s="16">
        <f t="shared" ca="1" si="3"/>
        <v>36000</v>
      </c>
      <c r="O9" s="16"/>
      <c r="P9" s="16" t="str">
        <f t="shared" si="4"/>
        <v/>
      </c>
      <c r="Q9" s="15" t="str">
        <f t="shared" si="5"/>
        <v>No Payment Data</v>
      </c>
      <c r="R9" s="17">
        <v>44440</v>
      </c>
      <c r="S9" s="17">
        <v>44804</v>
      </c>
      <c r="T9" s="15" t="s">
        <v>159</v>
      </c>
      <c r="U9" s="15" t="s">
        <v>180</v>
      </c>
      <c r="V9" s="15"/>
    </row>
    <row r="10" spans="1:22" ht="27.6" x14ac:dyDescent="0.3">
      <c r="A10" s="15" t="s">
        <v>181</v>
      </c>
      <c r="B10" s="15" t="s">
        <v>91</v>
      </c>
      <c r="C10" s="15" t="s">
        <v>92</v>
      </c>
      <c r="D10" s="15" t="s">
        <v>182</v>
      </c>
      <c r="E10" s="15" t="s">
        <v>124</v>
      </c>
      <c r="F10" s="15">
        <v>1</v>
      </c>
      <c r="G10" s="17">
        <v>44440</v>
      </c>
      <c r="H10" s="17">
        <v>44804</v>
      </c>
      <c r="I10" s="19">
        <f t="shared" ca="1" si="0"/>
        <v>364</v>
      </c>
      <c r="J10" s="20">
        <f t="shared" ca="1" si="1"/>
        <v>12</v>
      </c>
      <c r="K10" s="21">
        <f t="shared" ca="1" si="2"/>
        <v>1</v>
      </c>
      <c r="L10" s="16">
        <v>3000</v>
      </c>
      <c r="M10" s="16">
        <v>18000</v>
      </c>
      <c r="N10" s="16">
        <f t="shared" ca="1" si="3"/>
        <v>36000</v>
      </c>
      <c r="O10" s="16"/>
      <c r="P10" s="16" t="str">
        <f t="shared" si="4"/>
        <v/>
      </c>
      <c r="Q10" s="15" t="str">
        <f t="shared" si="5"/>
        <v>No Payment Data</v>
      </c>
      <c r="R10" s="17">
        <v>44440</v>
      </c>
      <c r="S10" s="17">
        <v>44804</v>
      </c>
      <c r="T10" s="15" t="s">
        <v>159</v>
      </c>
      <c r="U10" s="15" t="s">
        <v>183</v>
      </c>
      <c r="V10" s="15" t="s">
        <v>184</v>
      </c>
    </row>
    <row r="11" spans="1:22" x14ac:dyDescent="0.3">
      <c r="A11" s="15" t="s">
        <v>185</v>
      </c>
      <c r="B11" s="15" t="s">
        <v>37</v>
      </c>
      <c r="C11" s="15" t="s">
        <v>38</v>
      </c>
      <c r="D11" s="15" t="s">
        <v>39</v>
      </c>
      <c r="E11" s="15" t="s">
        <v>124</v>
      </c>
      <c r="F11" s="15">
        <v>1</v>
      </c>
      <c r="G11" s="17">
        <v>46091</v>
      </c>
      <c r="H11" s="15"/>
      <c r="I11" s="19">
        <f t="shared" ca="1" si="0"/>
        <v>171</v>
      </c>
      <c r="J11" s="20">
        <f t="shared" ca="1" si="1"/>
        <v>5.6</v>
      </c>
      <c r="K11" s="21">
        <f t="shared" ca="1" si="2"/>
        <v>0.47</v>
      </c>
      <c r="L11" s="16">
        <v>3000</v>
      </c>
      <c r="M11" s="16">
        <v>15000</v>
      </c>
      <c r="N11" s="16">
        <f t="shared" ca="1" si="3"/>
        <v>18000</v>
      </c>
      <c r="O11" s="16"/>
      <c r="P11" s="16" t="str">
        <f t="shared" si="4"/>
        <v/>
      </c>
      <c r="Q11" s="15" t="str">
        <f t="shared" si="5"/>
        <v>No Payment Data</v>
      </c>
      <c r="R11" s="17">
        <v>46091</v>
      </c>
      <c r="S11" s="17">
        <v>46427</v>
      </c>
      <c r="T11" s="15"/>
      <c r="U11" s="15" t="s">
        <v>186</v>
      </c>
      <c r="V11" s="15" t="s">
        <v>187</v>
      </c>
    </row>
    <row r="12" spans="1:22" x14ac:dyDescent="0.3">
      <c r="A12" s="15" t="s">
        <v>188</v>
      </c>
      <c r="B12" s="15" t="s">
        <v>40</v>
      </c>
      <c r="C12" s="15" t="s">
        <v>41</v>
      </c>
      <c r="D12" s="15" t="s">
        <v>42</v>
      </c>
      <c r="E12" s="15" t="s">
        <v>138</v>
      </c>
      <c r="F12" s="15">
        <v>1</v>
      </c>
      <c r="G12" s="17">
        <v>45980</v>
      </c>
      <c r="H12" s="15"/>
      <c r="I12" s="19">
        <f t="shared" ca="1" si="0"/>
        <v>282</v>
      </c>
      <c r="J12" s="20">
        <f t="shared" ca="1" si="1"/>
        <v>9.3000000000000007</v>
      </c>
      <c r="K12" s="21">
        <f t="shared" ca="1" si="2"/>
        <v>0.77</v>
      </c>
      <c r="L12" s="16">
        <v>4200</v>
      </c>
      <c r="M12" s="16">
        <v>15000</v>
      </c>
      <c r="N12" s="16">
        <f t="shared" ca="1" si="3"/>
        <v>37800</v>
      </c>
      <c r="O12" s="16"/>
      <c r="P12" s="16" t="str">
        <f t="shared" si="4"/>
        <v/>
      </c>
      <c r="Q12" s="15" t="str">
        <f t="shared" si="5"/>
        <v>No Payment Data</v>
      </c>
      <c r="R12" s="17">
        <v>45980</v>
      </c>
      <c r="S12" s="17">
        <v>46314</v>
      </c>
      <c r="T12" s="15"/>
      <c r="U12" s="15" t="s">
        <v>189</v>
      </c>
      <c r="V12" s="15" t="s">
        <v>187</v>
      </c>
    </row>
    <row r="13" spans="1:22" x14ac:dyDescent="0.3">
      <c r="A13" s="15" t="s">
        <v>190</v>
      </c>
      <c r="B13" s="15" t="s">
        <v>105</v>
      </c>
      <c r="C13" s="15" t="s">
        <v>106</v>
      </c>
      <c r="D13" s="15" t="s">
        <v>42</v>
      </c>
      <c r="E13" s="15" t="s">
        <v>138</v>
      </c>
      <c r="F13" s="15">
        <v>1</v>
      </c>
      <c r="G13" s="17">
        <v>44803</v>
      </c>
      <c r="H13" s="17">
        <v>45106</v>
      </c>
      <c r="I13" s="19">
        <f t="shared" ca="1" si="0"/>
        <v>303</v>
      </c>
      <c r="J13" s="20">
        <f t="shared" ca="1" si="1"/>
        <v>10</v>
      </c>
      <c r="K13" s="21">
        <f t="shared" ca="1" si="2"/>
        <v>0.83</v>
      </c>
      <c r="L13" s="16">
        <v>4000</v>
      </c>
      <c r="M13" s="16">
        <v>20000</v>
      </c>
      <c r="N13" s="16">
        <f t="shared" ca="1" si="3"/>
        <v>40000</v>
      </c>
      <c r="O13" s="16"/>
      <c r="P13" s="16" t="str">
        <f t="shared" si="4"/>
        <v/>
      </c>
      <c r="Q13" s="15" t="str">
        <f t="shared" si="5"/>
        <v>No Payment Data</v>
      </c>
      <c r="R13" s="17">
        <v>44803</v>
      </c>
      <c r="S13" s="17">
        <v>45106</v>
      </c>
      <c r="T13" s="15" t="s">
        <v>159</v>
      </c>
      <c r="U13" s="15" t="s">
        <v>191</v>
      </c>
      <c r="V13" s="15" t="s">
        <v>192</v>
      </c>
    </row>
    <row r="14" spans="1:22" x14ac:dyDescent="0.3">
      <c r="A14" s="15" t="s">
        <v>193</v>
      </c>
      <c r="B14" s="15" t="s">
        <v>109</v>
      </c>
      <c r="C14" s="15" t="s">
        <v>110</v>
      </c>
      <c r="D14" s="15" t="s">
        <v>112</v>
      </c>
      <c r="E14" s="15" t="s">
        <v>124</v>
      </c>
      <c r="F14" s="15">
        <v>1</v>
      </c>
      <c r="G14" s="17">
        <v>45703</v>
      </c>
      <c r="H14" s="17">
        <v>46037</v>
      </c>
      <c r="I14" s="19">
        <f t="shared" ca="1" si="0"/>
        <v>334</v>
      </c>
      <c r="J14" s="20">
        <f t="shared" ca="1" si="1"/>
        <v>11</v>
      </c>
      <c r="K14" s="21">
        <f t="shared" ca="1" si="2"/>
        <v>0.91</v>
      </c>
      <c r="L14" s="16">
        <v>5000</v>
      </c>
      <c r="M14" s="16">
        <v>20000</v>
      </c>
      <c r="N14" s="16">
        <f t="shared" ca="1" si="3"/>
        <v>55000</v>
      </c>
      <c r="O14" s="16"/>
      <c r="P14" s="16" t="str">
        <f t="shared" si="4"/>
        <v/>
      </c>
      <c r="Q14" s="15" t="str">
        <f t="shared" si="5"/>
        <v>No Payment Data</v>
      </c>
      <c r="R14" s="17">
        <v>45703</v>
      </c>
      <c r="S14" s="17">
        <v>46037</v>
      </c>
      <c r="T14" s="15" t="s">
        <v>159</v>
      </c>
      <c r="U14" s="15" t="s">
        <v>194</v>
      </c>
      <c r="V14" s="15" t="s">
        <v>195</v>
      </c>
    </row>
  </sheetData>
  <conditionalFormatting sqref="Q2:Q64">
    <cfRule type="cellIs" dxfId="17" priority="1" operator="equal">
      <formula>"Paid"</formula>
    </cfRule>
    <cfRule type="cellIs" dxfId="16" priority="2" operator="equal">
      <formula>"Partial"</formula>
    </cfRule>
    <cfRule type="cellIs" dxfId="15" priority="3" operator="equal">
      <formula>"Pending"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U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12" customWidth="1"/>
    <col min="5" max="5" width="22" customWidth="1"/>
    <col min="6" max="7" width="14" customWidth="1"/>
    <col min="8" max="8" width="16" customWidth="1"/>
    <col min="9" max="9" width="14" customWidth="1"/>
    <col min="10" max="10" width="12" customWidth="1"/>
    <col min="11" max="13" width="14" customWidth="1"/>
    <col min="14" max="15" width="16" customWidth="1"/>
    <col min="16" max="16" width="22" customWidth="1"/>
    <col min="17" max="17" width="16" customWidth="1"/>
    <col min="18" max="18" width="12" customWidth="1"/>
    <col min="19" max="19" width="20" customWidth="1"/>
    <col min="20" max="20" width="22" customWidth="1"/>
    <col min="21" max="21" width="30" customWidth="1"/>
  </cols>
  <sheetData>
    <row r="1" spans="1:21" ht="28.8" x14ac:dyDescent="0.3">
      <c r="A1" s="14" t="s">
        <v>196</v>
      </c>
      <c r="B1" s="14" t="s">
        <v>20</v>
      </c>
      <c r="C1" s="14" t="s">
        <v>30</v>
      </c>
      <c r="D1" s="14" t="s">
        <v>28</v>
      </c>
      <c r="E1" s="14" t="s">
        <v>29</v>
      </c>
      <c r="F1" s="14" t="s">
        <v>142</v>
      </c>
      <c r="G1" s="14" t="s">
        <v>31</v>
      </c>
      <c r="H1" s="14" t="s">
        <v>197</v>
      </c>
      <c r="I1" s="14" t="s">
        <v>198</v>
      </c>
      <c r="J1" s="14" t="s">
        <v>199</v>
      </c>
      <c r="K1" s="14" t="s">
        <v>200</v>
      </c>
      <c r="L1" s="14" t="s">
        <v>201</v>
      </c>
      <c r="M1" s="14" t="s">
        <v>202</v>
      </c>
      <c r="N1" s="14" t="s">
        <v>203</v>
      </c>
      <c r="O1" s="14" t="s">
        <v>204</v>
      </c>
      <c r="P1" s="14" t="s">
        <v>205</v>
      </c>
      <c r="Q1" s="14" t="s">
        <v>152</v>
      </c>
      <c r="R1" s="14" t="s">
        <v>206</v>
      </c>
      <c r="S1" s="14" t="s">
        <v>156</v>
      </c>
      <c r="T1" s="14" t="s">
        <v>207</v>
      </c>
      <c r="U1" s="14" t="s">
        <v>157</v>
      </c>
    </row>
    <row r="2" spans="1:21" x14ac:dyDescent="0.3">
      <c r="A2" s="15" t="s">
        <v>208</v>
      </c>
      <c r="B2" s="15"/>
      <c r="C2" s="15" t="s">
        <v>36</v>
      </c>
      <c r="D2" s="15" t="s">
        <v>34</v>
      </c>
      <c r="E2" s="15" t="s">
        <v>35</v>
      </c>
      <c r="F2" s="15" t="s">
        <v>173</v>
      </c>
      <c r="G2" s="16">
        <v>3000</v>
      </c>
      <c r="H2" s="16">
        <v>0</v>
      </c>
      <c r="I2" s="16">
        <v>0</v>
      </c>
      <c r="J2" s="16">
        <v>0</v>
      </c>
      <c r="K2" s="16">
        <f>G2+H2+I2+J2</f>
        <v>3000</v>
      </c>
      <c r="L2" s="16"/>
      <c r="M2" s="16">
        <f>K2-IF(L2="",0,L2)</f>
        <v>3000</v>
      </c>
      <c r="N2" s="15"/>
      <c r="O2" s="15"/>
      <c r="P2" s="15"/>
      <c r="Q2" s="15" t="str">
        <f>IF(L2="","Pending",IF(M2&lt;=0,"Paid",IF(L2&gt;0,"Partial","Pending")))</f>
        <v>Pending</v>
      </c>
      <c r="R2" s="15"/>
      <c r="S2" s="15"/>
      <c r="T2" s="15"/>
      <c r="U2" s="15" t="s">
        <v>209</v>
      </c>
    </row>
    <row r="3" spans="1:21" x14ac:dyDescent="0.3">
      <c r="A3" s="15" t="s">
        <v>210</v>
      </c>
      <c r="B3" s="15"/>
      <c r="C3" s="15" t="s">
        <v>39</v>
      </c>
      <c r="D3" s="15" t="s">
        <v>37</v>
      </c>
      <c r="E3" s="15" t="s">
        <v>38</v>
      </c>
      <c r="F3" s="15" t="s">
        <v>185</v>
      </c>
      <c r="G3" s="16">
        <v>3000</v>
      </c>
      <c r="H3" s="16">
        <v>0</v>
      </c>
      <c r="I3" s="16">
        <v>0</v>
      </c>
      <c r="J3" s="16">
        <v>0</v>
      </c>
      <c r="K3" s="16">
        <f>G3+H3+I3+J3</f>
        <v>3000</v>
      </c>
      <c r="L3" s="16"/>
      <c r="M3" s="16">
        <f>K3-IF(L3="",0,L3)</f>
        <v>3000</v>
      </c>
      <c r="N3" s="15"/>
      <c r="O3" s="15"/>
      <c r="P3" s="15"/>
      <c r="Q3" s="15" t="str">
        <f>IF(L3="","Pending",IF(M3&lt;=0,"Paid",IF(L3&gt;0,"Partial","Pending")))</f>
        <v>Pending</v>
      </c>
      <c r="R3" s="15"/>
      <c r="S3" s="15"/>
      <c r="T3" s="15"/>
      <c r="U3" s="15" t="s">
        <v>209</v>
      </c>
    </row>
    <row r="4" spans="1:21" x14ac:dyDescent="0.3">
      <c r="A4" s="15" t="s">
        <v>211</v>
      </c>
      <c r="B4" s="15"/>
      <c r="C4" s="15" t="s">
        <v>42</v>
      </c>
      <c r="D4" s="15" t="s">
        <v>40</v>
      </c>
      <c r="E4" s="15" t="s">
        <v>41</v>
      </c>
      <c r="F4" s="15" t="s">
        <v>188</v>
      </c>
      <c r="G4" s="16">
        <v>4200</v>
      </c>
      <c r="H4" s="16">
        <v>0</v>
      </c>
      <c r="I4" s="16">
        <v>0</v>
      </c>
      <c r="J4" s="16">
        <v>0</v>
      </c>
      <c r="K4" s="16">
        <f>G4+H4+I4+J4</f>
        <v>4200</v>
      </c>
      <c r="L4" s="16"/>
      <c r="M4" s="16">
        <f>K4-IF(L4="",0,L4)</f>
        <v>4200</v>
      </c>
      <c r="N4" s="15"/>
      <c r="O4" s="15"/>
      <c r="P4" s="15"/>
      <c r="Q4" s="15" t="str">
        <f>IF(L4="","Pending",IF(M4&lt;=0,"Paid",IF(L4&gt;0,"Partial","Pending")))</f>
        <v>Pending</v>
      </c>
      <c r="R4" s="15"/>
      <c r="S4" s="15"/>
      <c r="T4" s="15"/>
      <c r="U4" s="15" t="s">
        <v>209</v>
      </c>
    </row>
  </sheetData>
  <conditionalFormatting sqref="Q2:Q204">
    <cfRule type="cellIs" dxfId="14" priority="1" operator="equal">
      <formula>"Paid"</formula>
    </cfRule>
    <cfRule type="cellIs" dxfId="13" priority="2" operator="equal">
      <formula>"Partial"</formula>
    </cfRule>
    <cfRule type="cellIs" dxfId="12" priority="3" operator="equal">
      <formula>"Pending"</formula>
    </cfRule>
  </conditionalFormatting>
  <dataValidations count="1">
    <dataValidation type="list" allowBlank="1" sqref="O2:O204" xr:uid="{00000000-0002-0000-0400-000000000000}">
      <formula1>"Cash,UPI,Bank Transfer,Cheque,Online,Other"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26" customWidth="1"/>
    <col min="5" max="5" width="14" customWidth="1"/>
    <col min="6" max="6" width="22" customWidth="1"/>
    <col min="7" max="8" width="18" customWidth="1"/>
    <col min="9" max="10" width="16" customWidth="1"/>
    <col min="11" max="11" width="14" customWidth="1"/>
    <col min="12" max="14" width="18" customWidth="1"/>
    <col min="15" max="15" width="16" customWidth="1"/>
    <col min="16" max="16" width="20" customWidth="1"/>
    <col min="17" max="17" width="28" customWidth="1"/>
    <col min="18" max="18" width="50" customWidth="1"/>
  </cols>
  <sheetData>
    <row r="1" spans="1:18" ht="28.8" x14ac:dyDescent="0.3">
      <c r="A1" s="14" t="s">
        <v>212</v>
      </c>
      <c r="B1" s="14" t="s">
        <v>28</v>
      </c>
      <c r="C1" s="14" t="s">
        <v>29</v>
      </c>
      <c r="D1" s="14" t="s">
        <v>30</v>
      </c>
      <c r="E1" s="14" t="s">
        <v>142</v>
      </c>
      <c r="F1" s="14" t="s">
        <v>213</v>
      </c>
      <c r="G1" s="14" t="s">
        <v>153</v>
      </c>
      <c r="H1" s="14" t="s">
        <v>154</v>
      </c>
      <c r="I1" s="14" t="s">
        <v>31</v>
      </c>
      <c r="J1" s="14" t="s">
        <v>64</v>
      </c>
      <c r="K1" s="14" t="s">
        <v>65</v>
      </c>
      <c r="L1" s="14" t="s">
        <v>214</v>
      </c>
      <c r="M1" s="14" t="s">
        <v>215</v>
      </c>
      <c r="N1" s="14" t="s">
        <v>216</v>
      </c>
      <c r="O1" s="14" t="s">
        <v>122</v>
      </c>
      <c r="P1" s="14" t="s">
        <v>217</v>
      </c>
      <c r="Q1" s="14" t="s">
        <v>156</v>
      </c>
      <c r="R1" s="14" t="s">
        <v>157</v>
      </c>
    </row>
    <row r="2" spans="1:18" x14ac:dyDescent="0.3">
      <c r="A2" s="15" t="s">
        <v>218</v>
      </c>
      <c r="B2" s="15" t="s">
        <v>68</v>
      </c>
      <c r="C2" s="15" t="s">
        <v>69</v>
      </c>
      <c r="D2" s="15" t="s">
        <v>71</v>
      </c>
      <c r="E2" s="15" t="s">
        <v>158</v>
      </c>
      <c r="F2" s="15" t="s">
        <v>219</v>
      </c>
      <c r="G2" s="17">
        <v>44531</v>
      </c>
      <c r="H2" s="17">
        <v>44865</v>
      </c>
      <c r="I2" s="16">
        <v>4000</v>
      </c>
      <c r="J2" s="16">
        <v>20000</v>
      </c>
      <c r="K2" s="16"/>
      <c r="L2" s="15" t="s">
        <v>220</v>
      </c>
      <c r="M2" s="15"/>
      <c r="N2" s="15" t="s">
        <v>221</v>
      </c>
      <c r="O2" s="15" t="s">
        <v>46</v>
      </c>
      <c r="P2" s="15"/>
      <c r="Q2" s="15" t="s">
        <v>160</v>
      </c>
      <c r="R2" s="15" t="s">
        <v>222</v>
      </c>
    </row>
    <row r="3" spans="1:18" ht="27.6" x14ac:dyDescent="0.3">
      <c r="A3" s="15" t="s">
        <v>223</v>
      </c>
      <c r="B3" s="15" t="s">
        <v>74</v>
      </c>
      <c r="C3" s="15" t="s">
        <v>75</v>
      </c>
      <c r="D3" s="15" t="s">
        <v>77</v>
      </c>
      <c r="E3" s="15" t="s">
        <v>161</v>
      </c>
      <c r="F3" s="15" t="s">
        <v>219</v>
      </c>
      <c r="G3" s="17">
        <v>44439</v>
      </c>
      <c r="H3" s="17">
        <v>44773</v>
      </c>
      <c r="I3" s="16">
        <v>18000</v>
      </c>
      <c r="J3" s="16">
        <v>125000</v>
      </c>
      <c r="K3" s="16"/>
      <c r="L3" s="15" t="s">
        <v>220</v>
      </c>
      <c r="M3" s="15" t="s">
        <v>224</v>
      </c>
      <c r="N3" s="15" t="s">
        <v>225</v>
      </c>
      <c r="O3" s="15" t="s">
        <v>46</v>
      </c>
      <c r="P3" s="15"/>
      <c r="Q3" s="15" t="s">
        <v>226</v>
      </c>
      <c r="R3" s="15" t="s">
        <v>227</v>
      </c>
    </row>
    <row r="4" spans="1:18" ht="27.6" x14ac:dyDescent="0.3">
      <c r="A4" s="15" t="s">
        <v>228</v>
      </c>
      <c r="B4" s="15" t="s">
        <v>79</v>
      </c>
      <c r="C4" s="15" t="s">
        <v>80</v>
      </c>
      <c r="D4" s="15" t="s">
        <v>82</v>
      </c>
      <c r="E4" s="15" t="s">
        <v>165</v>
      </c>
      <c r="F4" s="15" t="s">
        <v>229</v>
      </c>
      <c r="G4" s="17">
        <v>43647</v>
      </c>
      <c r="H4" s="17">
        <v>43982</v>
      </c>
      <c r="I4" s="16">
        <v>4000</v>
      </c>
      <c r="J4" s="16">
        <v>20000</v>
      </c>
      <c r="K4" s="16"/>
      <c r="L4" s="15" t="s">
        <v>230</v>
      </c>
      <c r="M4" s="15"/>
      <c r="N4" s="15" t="s">
        <v>221</v>
      </c>
      <c r="O4" s="15" t="s">
        <v>46</v>
      </c>
      <c r="P4" s="15"/>
      <c r="Q4" s="15" t="s">
        <v>166</v>
      </c>
      <c r="R4" s="15" t="s">
        <v>231</v>
      </c>
    </row>
    <row r="5" spans="1:18" ht="27.6" x14ac:dyDescent="0.3">
      <c r="A5" s="15" t="s">
        <v>232</v>
      </c>
      <c r="B5" s="15" t="s">
        <v>74</v>
      </c>
      <c r="C5" s="15" t="s">
        <v>75</v>
      </c>
      <c r="D5" s="15" t="s">
        <v>112</v>
      </c>
      <c r="E5" s="15" t="s">
        <v>167</v>
      </c>
      <c r="F5" s="15" t="s">
        <v>233</v>
      </c>
      <c r="G5" s="17">
        <v>42583</v>
      </c>
      <c r="H5" s="17">
        <v>42917</v>
      </c>
      <c r="I5" s="16">
        <v>600</v>
      </c>
      <c r="J5" s="16">
        <v>75000</v>
      </c>
      <c r="K5" s="16"/>
      <c r="L5" s="15" t="s">
        <v>220</v>
      </c>
      <c r="M5" s="15" t="s">
        <v>234</v>
      </c>
      <c r="N5" s="15" t="s">
        <v>235</v>
      </c>
      <c r="O5" s="15" t="s">
        <v>46</v>
      </c>
      <c r="P5" s="15"/>
      <c r="Q5" s="15" t="s">
        <v>168</v>
      </c>
      <c r="R5" s="15" t="s">
        <v>236</v>
      </c>
    </row>
    <row r="6" spans="1:18" ht="41.4" x14ac:dyDescent="0.3">
      <c r="A6" s="15" t="s">
        <v>237</v>
      </c>
      <c r="B6" s="15" t="s">
        <v>84</v>
      </c>
      <c r="C6" s="15" t="s">
        <v>85</v>
      </c>
      <c r="D6" s="15" t="s">
        <v>87</v>
      </c>
      <c r="E6" s="15" t="s">
        <v>170</v>
      </c>
      <c r="F6" s="15" t="s">
        <v>238</v>
      </c>
      <c r="G6" s="17">
        <v>44742</v>
      </c>
      <c r="H6" s="17">
        <v>45075</v>
      </c>
      <c r="I6" s="16">
        <v>10000</v>
      </c>
      <c r="J6" s="16">
        <v>30000</v>
      </c>
      <c r="K6" s="16"/>
      <c r="L6" s="15" t="s">
        <v>239</v>
      </c>
      <c r="M6" s="15" t="s">
        <v>240</v>
      </c>
      <c r="N6" s="15" t="s">
        <v>221</v>
      </c>
      <c r="O6" s="15" t="s">
        <v>46</v>
      </c>
      <c r="P6" s="15"/>
      <c r="Q6" s="15" t="s">
        <v>171</v>
      </c>
      <c r="R6" s="15" t="s">
        <v>241</v>
      </c>
    </row>
    <row r="7" spans="1:18" ht="27.6" x14ac:dyDescent="0.3">
      <c r="A7" s="15" t="s">
        <v>242</v>
      </c>
      <c r="B7" s="15" t="s">
        <v>34</v>
      </c>
      <c r="C7" s="15" t="s">
        <v>35</v>
      </c>
      <c r="D7" s="15" t="s">
        <v>36</v>
      </c>
      <c r="E7" s="15" t="s">
        <v>173</v>
      </c>
      <c r="F7" s="15" t="s">
        <v>219</v>
      </c>
      <c r="G7" s="17">
        <v>46149</v>
      </c>
      <c r="H7" s="17">
        <v>46483</v>
      </c>
      <c r="I7" s="16">
        <v>3000</v>
      </c>
      <c r="J7" s="16">
        <v>20000</v>
      </c>
      <c r="K7" s="16"/>
      <c r="L7" s="15" t="s">
        <v>243</v>
      </c>
      <c r="M7" s="15" t="s">
        <v>244</v>
      </c>
      <c r="N7" s="15" t="s">
        <v>245</v>
      </c>
      <c r="O7" s="15" t="s">
        <v>45</v>
      </c>
      <c r="P7" s="15"/>
      <c r="Q7" s="15" t="s">
        <v>174</v>
      </c>
      <c r="R7" s="15" t="s">
        <v>246</v>
      </c>
    </row>
    <row r="8" spans="1:18" ht="27.6" x14ac:dyDescent="0.3">
      <c r="A8" s="15" t="s">
        <v>247</v>
      </c>
      <c r="B8" s="15" t="s">
        <v>74</v>
      </c>
      <c r="C8" s="15" t="s">
        <v>75</v>
      </c>
      <c r="D8" s="15" t="s">
        <v>77</v>
      </c>
      <c r="E8" s="15" t="s">
        <v>161</v>
      </c>
      <c r="F8" s="15" t="s">
        <v>219</v>
      </c>
      <c r="G8" s="17">
        <v>45398</v>
      </c>
      <c r="H8" s="17">
        <v>45732</v>
      </c>
      <c r="I8" s="16">
        <v>20000</v>
      </c>
      <c r="J8" s="16">
        <v>125000</v>
      </c>
      <c r="K8" s="16"/>
      <c r="L8" s="15" t="s">
        <v>248</v>
      </c>
      <c r="M8" s="15"/>
      <c r="N8" s="15" t="s">
        <v>221</v>
      </c>
      <c r="O8" s="15" t="s">
        <v>46</v>
      </c>
      <c r="P8" s="15"/>
      <c r="Q8" s="15" t="s">
        <v>249</v>
      </c>
      <c r="R8" s="15" t="s">
        <v>250</v>
      </c>
    </row>
    <row r="9" spans="1:18" x14ac:dyDescent="0.3">
      <c r="A9" s="15" t="s">
        <v>251</v>
      </c>
      <c r="B9" s="15" t="s">
        <v>91</v>
      </c>
      <c r="C9" s="15" t="s">
        <v>92</v>
      </c>
      <c r="D9" s="15" t="s">
        <v>94</v>
      </c>
      <c r="E9" s="15" t="s">
        <v>176</v>
      </c>
      <c r="F9" s="15" t="s">
        <v>219</v>
      </c>
      <c r="G9" s="17">
        <v>45505</v>
      </c>
      <c r="H9" s="17">
        <v>45838</v>
      </c>
      <c r="I9" s="16">
        <v>3200</v>
      </c>
      <c r="J9" s="16">
        <v>18000</v>
      </c>
      <c r="K9" s="16"/>
      <c r="L9" s="15" t="s">
        <v>252</v>
      </c>
      <c r="M9" s="15"/>
      <c r="N9" s="15" t="s">
        <v>221</v>
      </c>
      <c r="O9" s="15" t="s">
        <v>46</v>
      </c>
      <c r="P9" s="15"/>
      <c r="Q9" s="15" t="s">
        <v>177</v>
      </c>
      <c r="R9" s="15" t="s">
        <v>253</v>
      </c>
    </row>
    <row r="10" spans="1:18" x14ac:dyDescent="0.3">
      <c r="A10" s="15" t="s">
        <v>254</v>
      </c>
      <c r="B10" s="15" t="s">
        <v>96</v>
      </c>
      <c r="C10" s="15" t="s">
        <v>97</v>
      </c>
      <c r="D10" s="15" t="s">
        <v>99</v>
      </c>
      <c r="E10" s="15" t="s">
        <v>179</v>
      </c>
      <c r="F10" s="15" t="s">
        <v>219</v>
      </c>
      <c r="G10" s="17">
        <v>44440</v>
      </c>
      <c r="H10" s="17">
        <v>44804</v>
      </c>
      <c r="I10" s="16">
        <v>3000</v>
      </c>
      <c r="J10" s="16">
        <v>20000</v>
      </c>
      <c r="K10" s="16"/>
      <c r="L10" s="15" t="s">
        <v>220</v>
      </c>
      <c r="M10" s="15" t="s">
        <v>255</v>
      </c>
      <c r="N10" s="15" t="s">
        <v>221</v>
      </c>
      <c r="O10" s="15" t="s">
        <v>46</v>
      </c>
      <c r="P10" s="15"/>
      <c r="Q10" s="15" t="s">
        <v>180</v>
      </c>
      <c r="R10" s="15" t="s">
        <v>256</v>
      </c>
    </row>
    <row r="11" spans="1:18" ht="27.6" x14ac:dyDescent="0.3">
      <c r="A11" s="15" t="s">
        <v>257</v>
      </c>
      <c r="B11" s="15" t="s">
        <v>91</v>
      </c>
      <c r="C11" s="15" t="s">
        <v>92</v>
      </c>
      <c r="D11" s="15" t="s">
        <v>258</v>
      </c>
      <c r="E11" s="15" t="s">
        <v>181</v>
      </c>
      <c r="F11" s="15" t="s">
        <v>259</v>
      </c>
      <c r="G11" s="17">
        <v>44440</v>
      </c>
      <c r="H11" s="17">
        <v>44804</v>
      </c>
      <c r="I11" s="16">
        <v>3000</v>
      </c>
      <c r="J11" s="16">
        <v>18000</v>
      </c>
      <c r="K11" s="16"/>
      <c r="L11" s="15" t="s">
        <v>220</v>
      </c>
      <c r="M11" s="15"/>
      <c r="N11" s="15" t="s">
        <v>260</v>
      </c>
      <c r="O11" s="15" t="s">
        <v>46</v>
      </c>
      <c r="P11" s="15"/>
      <c r="Q11" s="15" t="s">
        <v>183</v>
      </c>
      <c r="R11" s="15" t="s">
        <v>261</v>
      </c>
    </row>
    <row r="12" spans="1:18" ht="27.6" x14ac:dyDescent="0.3">
      <c r="A12" s="15" t="s">
        <v>262</v>
      </c>
      <c r="B12" s="15" t="s">
        <v>37</v>
      </c>
      <c r="C12" s="15" t="s">
        <v>38</v>
      </c>
      <c r="D12" s="15" t="s">
        <v>39</v>
      </c>
      <c r="E12" s="15" t="s">
        <v>185</v>
      </c>
      <c r="F12" s="15" t="s">
        <v>219</v>
      </c>
      <c r="G12" s="17">
        <v>46091</v>
      </c>
      <c r="H12" s="17">
        <v>46427</v>
      </c>
      <c r="I12" s="16">
        <v>3000</v>
      </c>
      <c r="J12" s="16">
        <v>15000</v>
      </c>
      <c r="K12" s="16"/>
      <c r="L12" s="15" t="s">
        <v>252</v>
      </c>
      <c r="M12" s="15" t="s">
        <v>263</v>
      </c>
      <c r="N12" s="15" t="s">
        <v>245</v>
      </c>
      <c r="O12" s="15" t="s">
        <v>45</v>
      </c>
      <c r="P12" s="15"/>
      <c r="Q12" s="15" t="s">
        <v>186</v>
      </c>
      <c r="R12" s="15" t="s">
        <v>264</v>
      </c>
    </row>
    <row r="13" spans="1:18" x14ac:dyDescent="0.3">
      <c r="A13" s="15" t="s">
        <v>265</v>
      </c>
      <c r="B13" s="15" t="s">
        <v>40</v>
      </c>
      <c r="C13" s="15" t="s">
        <v>41</v>
      </c>
      <c r="D13" s="15" t="s">
        <v>42</v>
      </c>
      <c r="E13" s="15" t="s">
        <v>188</v>
      </c>
      <c r="F13" s="15" t="s">
        <v>266</v>
      </c>
      <c r="G13" s="17">
        <v>45980</v>
      </c>
      <c r="H13" s="17">
        <v>46314</v>
      </c>
      <c r="I13" s="16">
        <v>4200</v>
      </c>
      <c r="J13" s="16">
        <v>15000</v>
      </c>
      <c r="K13" s="16"/>
      <c r="L13" s="15" t="s">
        <v>267</v>
      </c>
      <c r="M13" s="15"/>
      <c r="N13" s="15" t="s">
        <v>245</v>
      </c>
      <c r="O13" s="15" t="s">
        <v>45</v>
      </c>
      <c r="P13" s="15"/>
      <c r="Q13" s="15" t="s">
        <v>189</v>
      </c>
      <c r="R13" s="15" t="s">
        <v>268</v>
      </c>
    </row>
    <row r="14" spans="1:18" ht="27.6" x14ac:dyDescent="0.3">
      <c r="A14" s="15" t="s">
        <v>269</v>
      </c>
      <c r="B14" s="15" t="s">
        <v>105</v>
      </c>
      <c r="C14" s="15" t="s">
        <v>106</v>
      </c>
      <c r="D14" s="15" t="s">
        <v>42</v>
      </c>
      <c r="E14" s="15" t="s">
        <v>190</v>
      </c>
      <c r="F14" s="15" t="s">
        <v>219</v>
      </c>
      <c r="G14" s="17">
        <v>44803</v>
      </c>
      <c r="H14" s="17">
        <v>45106</v>
      </c>
      <c r="I14" s="16">
        <v>4000</v>
      </c>
      <c r="J14" s="16">
        <v>20000</v>
      </c>
      <c r="K14" s="16"/>
      <c r="L14" s="15" t="s">
        <v>252</v>
      </c>
      <c r="M14" s="15" t="s">
        <v>270</v>
      </c>
      <c r="N14" s="15" t="s">
        <v>221</v>
      </c>
      <c r="O14" s="15" t="s">
        <v>46</v>
      </c>
      <c r="P14" s="15"/>
      <c r="Q14" s="15" t="s">
        <v>191</v>
      </c>
      <c r="R14" s="15" t="s">
        <v>271</v>
      </c>
    </row>
    <row r="15" spans="1:18" x14ac:dyDescent="0.3">
      <c r="A15" s="15" t="s">
        <v>272</v>
      </c>
      <c r="B15" s="15" t="s">
        <v>109</v>
      </c>
      <c r="C15" s="15" t="s">
        <v>110</v>
      </c>
      <c r="D15" s="15" t="s">
        <v>112</v>
      </c>
      <c r="E15" s="15" t="s">
        <v>193</v>
      </c>
      <c r="F15" s="15" t="s">
        <v>273</v>
      </c>
      <c r="G15" s="17">
        <v>45703</v>
      </c>
      <c r="H15" s="17">
        <v>46037</v>
      </c>
      <c r="I15" s="16">
        <v>5000</v>
      </c>
      <c r="J15" s="16">
        <v>20000</v>
      </c>
      <c r="K15" s="16"/>
      <c r="L15" s="15" t="s">
        <v>274</v>
      </c>
      <c r="M15" s="15" t="s">
        <v>275</v>
      </c>
      <c r="N15" s="15" t="s">
        <v>221</v>
      </c>
      <c r="O15" s="15" t="s">
        <v>46</v>
      </c>
      <c r="P15" s="15"/>
      <c r="Q15" s="15" t="s">
        <v>194</v>
      </c>
      <c r="R15" s="15" t="s">
        <v>276</v>
      </c>
    </row>
  </sheetData>
  <conditionalFormatting sqref="O2:O65">
    <cfRule type="cellIs" dxfId="11" priority="1" operator="equal">
      <formula>"Active"</formula>
    </cfRule>
    <cfRule type="cellIs" dxfId="10" priority="2" operator="equal">
      <formula>"Expired"</formula>
    </cfRule>
  </conditionalFormatting>
  <dataValidations count="2">
    <dataValidation type="list" allowBlank="1" sqref="O2:O65" xr:uid="{00000000-0002-0000-0500-000000000000}">
      <formula1>"Active,Expired,Terminated,Renewed"</formula1>
    </dataValidation>
    <dataValidation type="list" allowBlank="1" sqref="N2:N65" xr:uid="{00000000-0002-0000-0500-000001000000}">
      <formula1>"Current,Renewed,Not Renewed,Pending Renewal"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2" customWidth="1"/>
    <col min="4" max="5" width="14" customWidth="1"/>
    <col min="6" max="6" width="28" customWidth="1"/>
    <col min="7" max="7" width="15" customWidth="1"/>
    <col min="8" max="8" width="40" customWidth="1"/>
    <col min="9" max="9" width="15" customWidth="1"/>
    <col min="10" max="11" width="18" customWidth="1"/>
    <col min="12" max="12" width="20" customWidth="1"/>
    <col min="13" max="13" width="16" customWidth="1"/>
    <col min="14" max="14" width="26" customWidth="1"/>
    <col min="15" max="15" width="40" customWidth="1"/>
  </cols>
  <sheetData>
    <row r="1" spans="1:15" ht="28.8" x14ac:dyDescent="0.3">
      <c r="A1" s="14" t="s">
        <v>277</v>
      </c>
      <c r="B1" s="14" t="s">
        <v>28</v>
      </c>
      <c r="C1" s="14" t="s">
        <v>29</v>
      </c>
      <c r="D1" s="14" t="s">
        <v>142</v>
      </c>
      <c r="E1" s="14" t="s">
        <v>212</v>
      </c>
      <c r="F1" s="14" t="s">
        <v>278</v>
      </c>
      <c r="G1" s="14" t="s">
        <v>279</v>
      </c>
      <c r="H1" s="14" t="s">
        <v>280</v>
      </c>
      <c r="I1" s="14" t="s">
        <v>281</v>
      </c>
      <c r="J1" s="14" t="s">
        <v>282</v>
      </c>
      <c r="K1" s="14" t="s">
        <v>283</v>
      </c>
      <c r="L1" s="14" t="s">
        <v>284</v>
      </c>
      <c r="M1" s="14" t="s">
        <v>285</v>
      </c>
      <c r="N1" s="14" t="s">
        <v>156</v>
      </c>
      <c r="O1" s="14" t="s">
        <v>157</v>
      </c>
    </row>
    <row r="2" spans="1:15" x14ac:dyDescent="0.3">
      <c r="A2" s="15" t="s">
        <v>224</v>
      </c>
      <c r="B2" s="15" t="s">
        <v>74</v>
      </c>
      <c r="C2" s="15" t="s">
        <v>75</v>
      </c>
      <c r="D2" s="15" t="s">
        <v>161</v>
      </c>
      <c r="E2" s="15" t="s">
        <v>223</v>
      </c>
      <c r="F2" s="15" t="s">
        <v>286</v>
      </c>
      <c r="G2" s="15"/>
      <c r="H2" s="15" t="s">
        <v>287</v>
      </c>
      <c r="I2" s="15"/>
      <c r="J2" s="15"/>
      <c r="K2" s="15" t="s">
        <v>288</v>
      </c>
      <c r="L2" s="15" t="s">
        <v>223</v>
      </c>
      <c r="M2" s="17">
        <v>44439</v>
      </c>
      <c r="N2" s="15" t="s">
        <v>289</v>
      </c>
      <c r="O2" s="15" t="s">
        <v>290</v>
      </c>
    </row>
    <row r="3" spans="1:15" x14ac:dyDescent="0.3">
      <c r="A3" s="15" t="s">
        <v>291</v>
      </c>
      <c r="B3" s="15" t="s">
        <v>74</v>
      </c>
      <c r="C3" s="15" t="s">
        <v>75</v>
      </c>
      <c r="D3" s="15" t="s">
        <v>167</v>
      </c>
      <c r="E3" s="15" t="s">
        <v>232</v>
      </c>
      <c r="F3" s="15" t="s">
        <v>292</v>
      </c>
      <c r="G3" s="15"/>
      <c r="H3" s="15"/>
      <c r="I3" s="15"/>
      <c r="J3" s="15"/>
      <c r="K3" s="15" t="s">
        <v>293</v>
      </c>
      <c r="L3" s="15" t="s">
        <v>232</v>
      </c>
      <c r="M3" s="17">
        <v>42605</v>
      </c>
      <c r="N3" s="15" t="s">
        <v>294</v>
      </c>
      <c r="O3" s="15"/>
    </row>
    <row r="4" spans="1:15" x14ac:dyDescent="0.3">
      <c r="A4" s="15" t="s">
        <v>295</v>
      </c>
      <c r="B4" s="15" t="s">
        <v>74</v>
      </c>
      <c r="C4" s="15" t="s">
        <v>75</v>
      </c>
      <c r="D4" s="15" t="s">
        <v>167</v>
      </c>
      <c r="E4" s="15" t="s">
        <v>232</v>
      </c>
      <c r="F4" s="15" t="s">
        <v>296</v>
      </c>
      <c r="G4" s="15"/>
      <c r="H4" s="15"/>
      <c r="I4" s="15"/>
      <c r="J4" s="15"/>
      <c r="K4" s="15" t="s">
        <v>288</v>
      </c>
      <c r="L4" s="15" t="s">
        <v>232</v>
      </c>
      <c r="M4" s="17">
        <v>42605</v>
      </c>
      <c r="N4" s="15" t="s">
        <v>294</v>
      </c>
      <c r="O4" s="15"/>
    </row>
    <row r="5" spans="1:15" x14ac:dyDescent="0.3">
      <c r="A5" s="15" t="s">
        <v>297</v>
      </c>
      <c r="B5" s="15" t="s">
        <v>84</v>
      </c>
      <c r="C5" s="15" t="s">
        <v>85</v>
      </c>
      <c r="D5" s="15" t="s">
        <v>170</v>
      </c>
      <c r="E5" s="15" t="s">
        <v>237</v>
      </c>
      <c r="F5" s="15" t="s">
        <v>298</v>
      </c>
      <c r="G5" s="15"/>
      <c r="H5" s="15" t="s">
        <v>299</v>
      </c>
      <c r="I5" s="15"/>
      <c r="J5" s="15"/>
      <c r="K5" s="15" t="s">
        <v>293</v>
      </c>
      <c r="L5" s="15" t="s">
        <v>237</v>
      </c>
      <c r="M5" s="17">
        <v>44736</v>
      </c>
      <c r="N5" s="15" t="s">
        <v>300</v>
      </c>
      <c r="O5" s="15"/>
    </row>
    <row r="6" spans="1:15" x14ac:dyDescent="0.3">
      <c r="A6" s="15" t="s">
        <v>301</v>
      </c>
      <c r="B6" s="15" t="s">
        <v>84</v>
      </c>
      <c r="C6" s="15" t="s">
        <v>85</v>
      </c>
      <c r="D6" s="15" t="s">
        <v>170</v>
      </c>
      <c r="E6" s="15" t="s">
        <v>237</v>
      </c>
      <c r="F6" s="15" t="s">
        <v>302</v>
      </c>
      <c r="G6" s="15"/>
      <c r="H6" s="15"/>
      <c r="I6" s="15"/>
      <c r="J6" s="15"/>
      <c r="K6" s="15" t="s">
        <v>288</v>
      </c>
      <c r="L6" s="15" t="s">
        <v>237</v>
      </c>
      <c r="M6" s="17">
        <v>44736</v>
      </c>
      <c r="N6" s="15" t="s">
        <v>300</v>
      </c>
      <c r="O6" s="15" t="s">
        <v>303</v>
      </c>
    </row>
    <row r="7" spans="1:15" x14ac:dyDescent="0.3">
      <c r="A7" s="15" t="s">
        <v>304</v>
      </c>
      <c r="B7" s="15" t="s">
        <v>34</v>
      </c>
      <c r="C7" s="15" t="s">
        <v>35</v>
      </c>
      <c r="D7" s="15" t="s">
        <v>173</v>
      </c>
      <c r="E7" s="15" t="s">
        <v>242</v>
      </c>
      <c r="F7" s="15" t="s">
        <v>305</v>
      </c>
      <c r="G7" s="15"/>
      <c r="H7" s="15" t="s">
        <v>306</v>
      </c>
      <c r="I7" s="15"/>
      <c r="J7" s="15"/>
      <c r="K7" s="15" t="s">
        <v>293</v>
      </c>
      <c r="L7" s="15" t="s">
        <v>242</v>
      </c>
      <c r="M7" s="17">
        <v>46149</v>
      </c>
      <c r="N7" s="15" t="s">
        <v>307</v>
      </c>
      <c r="O7" s="15" t="s">
        <v>308</v>
      </c>
    </row>
    <row r="8" spans="1:15" x14ac:dyDescent="0.3">
      <c r="A8" s="15" t="s">
        <v>309</v>
      </c>
      <c r="B8" s="15" t="s">
        <v>34</v>
      </c>
      <c r="C8" s="15" t="s">
        <v>35</v>
      </c>
      <c r="D8" s="15" t="s">
        <v>173</v>
      </c>
      <c r="E8" s="15" t="s">
        <v>242</v>
      </c>
      <c r="F8" s="15" t="s">
        <v>310</v>
      </c>
      <c r="G8" s="15"/>
      <c r="H8" s="15" t="s">
        <v>311</v>
      </c>
      <c r="I8" s="15"/>
      <c r="J8" s="15"/>
      <c r="K8" s="15" t="s">
        <v>288</v>
      </c>
      <c r="L8" s="15" t="s">
        <v>242</v>
      </c>
      <c r="M8" s="17">
        <v>46149</v>
      </c>
      <c r="N8" s="15" t="s">
        <v>307</v>
      </c>
      <c r="O8" s="15"/>
    </row>
    <row r="9" spans="1:15" x14ac:dyDescent="0.3">
      <c r="A9" s="15" t="s">
        <v>312</v>
      </c>
      <c r="B9" s="15" t="s">
        <v>96</v>
      </c>
      <c r="C9" s="15" t="s">
        <v>97</v>
      </c>
      <c r="D9" s="15" t="s">
        <v>179</v>
      </c>
      <c r="E9" s="15" t="s">
        <v>254</v>
      </c>
      <c r="F9" s="15" t="s">
        <v>313</v>
      </c>
      <c r="G9" s="15"/>
      <c r="H9" s="15" t="s">
        <v>314</v>
      </c>
      <c r="I9" s="15"/>
      <c r="J9" s="15"/>
      <c r="K9" s="15" t="s">
        <v>293</v>
      </c>
      <c r="L9" s="15" t="s">
        <v>254</v>
      </c>
      <c r="M9" s="17">
        <v>44440</v>
      </c>
      <c r="N9" s="15" t="s">
        <v>315</v>
      </c>
      <c r="O9" s="15"/>
    </row>
    <row r="10" spans="1:15" ht="27.6" x14ac:dyDescent="0.3">
      <c r="A10" s="15" t="s">
        <v>316</v>
      </c>
      <c r="B10" s="15" t="s">
        <v>96</v>
      </c>
      <c r="C10" s="15" t="s">
        <v>97</v>
      </c>
      <c r="D10" s="15" t="s">
        <v>179</v>
      </c>
      <c r="E10" s="15" t="s">
        <v>254</v>
      </c>
      <c r="F10" s="15" t="s">
        <v>286</v>
      </c>
      <c r="G10" s="15"/>
      <c r="H10" s="15" t="s">
        <v>317</v>
      </c>
      <c r="I10" s="15"/>
      <c r="J10" s="15"/>
      <c r="K10" s="15" t="s">
        <v>288</v>
      </c>
      <c r="L10" s="15" t="s">
        <v>254</v>
      </c>
      <c r="M10" s="17">
        <v>44440</v>
      </c>
      <c r="N10" s="15" t="s">
        <v>315</v>
      </c>
      <c r="O10" s="15" t="s">
        <v>318</v>
      </c>
    </row>
    <row r="11" spans="1:15" ht="27.6" x14ac:dyDescent="0.3">
      <c r="A11" s="15" t="s">
        <v>319</v>
      </c>
      <c r="B11" s="15" t="s">
        <v>37</v>
      </c>
      <c r="C11" s="15" t="s">
        <v>38</v>
      </c>
      <c r="D11" s="15" t="s">
        <v>185</v>
      </c>
      <c r="E11" s="15" t="s">
        <v>262</v>
      </c>
      <c r="F11" s="15" t="s">
        <v>320</v>
      </c>
      <c r="G11" s="15"/>
      <c r="H11" s="15"/>
      <c r="I11" s="15"/>
      <c r="J11" s="15"/>
      <c r="K11" s="15" t="s">
        <v>293</v>
      </c>
      <c r="L11" s="15" t="s">
        <v>262</v>
      </c>
      <c r="M11" s="17">
        <v>46091</v>
      </c>
      <c r="N11" s="15" t="s">
        <v>321</v>
      </c>
      <c r="O11" s="15" t="s">
        <v>322</v>
      </c>
    </row>
    <row r="12" spans="1:15" x14ac:dyDescent="0.3">
      <c r="A12" s="15" t="s">
        <v>323</v>
      </c>
      <c r="B12" s="15" t="s">
        <v>37</v>
      </c>
      <c r="C12" s="15" t="s">
        <v>38</v>
      </c>
      <c r="D12" s="15" t="s">
        <v>185</v>
      </c>
      <c r="E12" s="15" t="s">
        <v>262</v>
      </c>
      <c r="F12" s="15" t="s">
        <v>324</v>
      </c>
      <c r="G12" s="15"/>
      <c r="H12" s="15"/>
      <c r="I12" s="15"/>
      <c r="J12" s="15"/>
      <c r="K12" s="15" t="s">
        <v>288</v>
      </c>
      <c r="L12" s="15" t="s">
        <v>262</v>
      </c>
      <c r="M12" s="17">
        <v>46091</v>
      </c>
      <c r="N12" s="15" t="s">
        <v>321</v>
      </c>
      <c r="O12" s="15" t="s">
        <v>325</v>
      </c>
    </row>
    <row r="13" spans="1:15" x14ac:dyDescent="0.3">
      <c r="A13" s="15" t="s">
        <v>326</v>
      </c>
      <c r="B13" s="15" t="s">
        <v>105</v>
      </c>
      <c r="C13" s="15" t="s">
        <v>106</v>
      </c>
      <c r="D13" s="15" t="s">
        <v>190</v>
      </c>
      <c r="E13" s="15" t="s">
        <v>269</v>
      </c>
      <c r="F13" s="15" t="s">
        <v>327</v>
      </c>
      <c r="G13" s="15"/>
      <c r="H13" s="15" t="s">
        <v>328</v>
      </c>
      <c r="I13" s="15"/>
      <c r="J13" s="15"/>
      <c r="K13" s="15" t="s">
        <v>293</v>
      </c>
      <c r="L13" s="15" t="s">
        <v>269</v>
      </c>
      <c r="M13" s="17">
        <v>44803</v>
      </c>
      <c r="N13" s="15" t="s">
        <v>329</v>
      </c>
      <c r="O13" s="15"/>
    </row>
    <row r="14" spans="1:15" ht="27.6" x14ac:dyDescent="0.3">
      <c r="A14" s="15" t="s">
        <v>330</v>
      </c>
      <c r="B14" s="15" t="s">
        <v>105</v>
      </c>
      <c r="C14" s="15" t="s">
        <v>106</v>
      </c>
      <c r="D14" s="15" t="s">
        <v>190</v>
      </c>
      <c r="E14" s="15" t="s">
        <v>269</v>
      </c>
      <c r="F14" s="15" t="s">
        <v>331</v>
      </c>
      <c r="G14" s="15"/>
      <c r="H14" s="15" t="s">
        <v>332</v>
      </c>
      <c r="I14" s="15"/>
      <c r="J14" s="15"/>
      <c r="K14" s="15" t="s">
        <v>288</v>
      </c>
      <c r="L14" s="15" t="s">
        <v>269</v>
      </c>
      <c r="M14" s="17">
        <v>44803</v>
      </c>
      <c r="N14" s="15" t="s">
        <v>329</v>
      </c>
      <c r="O14" s="15"/>
    </row>
    <row r="15" spans="1:15" ht="27.6" x14ac:dyDescent="0.3">
      <c r="A15" s="15" t="s">
        <v>275</v>
      </c>
      <c r="B15" s="15" t="s">
        <v>109</v>
      </c>
      <c r="C15" s="15" t="s">
        <v>110</v>
      </c>
      <c r="D15" s="15" t="s">
        <v>193</v>
      </c>
      <c r="E15" s="15" t="s">
        <v>272</v>
      </c>
      <c r="F15" s="15" t="s">
        <v>333</v>
      </c>
      <c r="G15" s="15"/>
      <c r="H15" s="15"/>
      <c r="I15" s="15"/>
      <c r="J15" s="15"/>
      <c r="K15" s="15" t="s">
        <v>293</v>
      </c>
      <c r="L15" s="15" t="s">
        <v>272</v>
      </c>
      <c r="M15" s="17">
        <v>45705</v>
      </c>
      <c r="N15" s="15" t="s">
        <v>334</v>
      </c>
      <c r="O15" s="15" t="s">
        <v>335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P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22" customWidth="1"/>
    <col min="4" max="4" width="26" customWidth="1"/>
    <col min="5" max="5" width="14" customWidth="1"/>
    <col min="6" max="7" width="16" customWidth="1"/>
    <col min="8" max="9" width="14" customWidth="1"/>
    <col min="10" max="10" width="18" customWidth="1"/>
    <col min="11" max="12" width="14" customWidth="1"/>
    <col min="13" max="13" width="18" customWidth="1"/>
    <col min="14" max="14" width="14" customWidth="1"/>
    <col min="15" max="15" width="28" customWidth="1"/>
    <col min="16" max="16" width="50" customWidth="1"/>
  </cols>
  <sheetData>
    <row r="1" spans="1:16" ht="28.8" x14ac:dyDescent="0.3">
      <c r="A1" s="14" t="s">
        <v>336</v>
      </c>
      <c r="B1" s="14" t="s">
        <v>28</v>
      </c>
      <c r="C1" s="14" t="s">
        <v>29</v>
      </c>
      <c r="D1" s="14" t="s">
        <v>30</v>
      </c>
      <c r="E1" s="14" t="s">
        <v>142</v>
      </c>
      <c r="F1" s="14" t="s">
        <v>64</v>
      </c>
      <c r="G1" s="14" t="s">
        <v>337</v>
      </c>
      <c r="H1" s="14" t="s">
        <v>65</v>
      </c>
      <c r="I1" s="14" t="s">
        <v>338</v>
      </c>
      <c r="J1" s="14" t="s">
        <v>339</v>
      </c>
      <c r="K1" s="14" t="s">
        <v>340</v>
      </c>
      <c r="L1" s="14" t="s">
        <v>341</v>
      </c>
      <c r="M1" s="14" t="s">
        <v>342</v>
      </c>
      <c r="N1" s="14" t="s">
        <v>343</v>
      </c>
      <c r="O1" s="14" t="s">
        <v>156</v>
      </c>
      <c r="P1" s="14" t="s">
        <v>157</v>
      </c>
    </row>
    <row r="2" spans="1:16" x14ac:dyDescent="0.3">
      <c r="A2" s="15" t="s">
        <v>344</v>
      </c>
      <c r="B2" s="15" t="s">
        <v>68</v>
      </c>
      <c r="C2" s="15" t="s">
        <v>69</v>
      </c>
      <c r="D2" s="15" t="s">
        <v>71</v>
      </c>
      <c r="E2" s="15" t="s">
        <v>158</v>
      </c>
      <c r="F2" s="16">
        <v>20000</v>
      </c>
      <c r="G2" s="17">
        <v>44531</v>
      </c>
      <c r="H2" s="16"/>
      <c r="I2" s="15"/>
      <c r="J2" s="15"/>
      <c r="K2" s="15"/>
      <c r="L2" s="16"/>
      <c r="M2" s="16"/>
      <c r="N2" s="15" t="s">
        <v>345</v>
      </c>
      <c r="O2" s="15" t="s">
        <v>160</v>
      </c>
      <c r="P2" s="15" t="s">
        <v>346</v>
      </c>
    </row>
    <row r="3" spans="1:16" ht="27.6" x14ac:dyDescent="0.3">
      <c r="A3" s="15" t="s">
        <v>347</v>
      </c>
      <c r="B3" s="15" t="s">
        <v>74</v>
      </c>
      <c r="C3" s="15" t="s">
        <v>75</v>
      </c>
      <c r="D3" s="15" t="s">
        <v>77</v>
      </c>
      <c r="E3" s="15" t="s">
        <v>161</v>
      </c>
      <c r="F3" s="16">
        <v>125000</v>
      </c>
      <c r="G3" s="17">
        <v>44439</v>
      </c>
      <c r="H3" s="16"/>
      <c r="I3" s="15"/>
      <c r="J3" s="15"/>
      <c r="K3" s="15"/>
      <c r="L3" s="16"/>
      <c r="M3" s="16"/>
      <c r="N3" s="15" t="s">
        <v>345</v>
      </c>
      <c r="O3" s="15" t="s">
        <v>163</v>
      </c>
      <c r="P3" s="15" t="s">
        <v>348</v>
      </c>
    </row>
    <row r="4" spans="1:16" x14ac:dyDescent="0.3">
      <c r="A4" s="15" t="s">
        <v>349</v>
      </c>
      <c r="B4" s="15" t="s">
        <v>79</v>
      </c>
      <c r="C4" s="15" t="s">
        <v>80</v>
      </c>
      <c r="D4" s="15" t="s">
        <v>82</v>
      </c>
      <c r="E4" s="15" t="s">
        <v>165</v>
      </c>
      <c r="F4" s="16">
        <v>20000</v>
      </c>
      <c r="G4" s="17">
        <v>43647</v>
      </c>
      <c r="H4" s="16"/>
      <c r="I4" s="15"/>
      <c r="J4" s="15"/>
      <c r="K4" s="15"/>
      <c r="L4" s="16"/>
      <c r="M4" s="16"/>
      <c r="N4" s="15" t="s">
        <v>345</v>
      </c>
      <c r="O4" s="15" t="s">
        <v>166</v>
      </c>
      <c r="P4" s="15"/>
    </row>
    <row r="5" spans="1:16" ht="27.6" x14ac:dyDescent="0.3">
      <c r="A5" s="15" t="s">
        <v>350</v>
      </c>
      <c r="B5" s="15" t="s">
        <v>74</v>
      </c>
      <c r="C5" s="15" t="s">
        <v>75</v>
      </c>
      <c r="D5" s="15" t="s">
        <v>112</v>
      </c>
      <c r="E5" s="15" t="s">
        <v>167</v>
      </c>
      <c r="F5" s="16">
        <v>75000</v>
      </c>
      <c r="G5" s="17">
        <v>42583</v>
      </c>
      <c r="H5" s="16"/>
      <c r="I5" s="15"/>
      <c r="J5" s="15" t="s">
        <v>351</v>
      </c>
      <c r="K5" s="15"/>
      <c r="L5" s="16"/>
      <c r="M5" s="16"/>
      <c r="N5" s="15" t="s">
        <v>352</v>
      </c>
      <c r="O5" s="15" t="s">
        <v>168</v>
      </c>
      <c r="P5" s="15" t="s">
        <v>353</v>
      </c>
    </row>
    <row r="6" spans="1:16" x14ac:dyDescent="0.3">
      <c r="A6" s="15" t="s">
        <v>354</v>
      </c>
      <c r="B6" s="15" t="s">
        <v>84</v>
      </c>
      <c r="C6" s="15" t="s">
        <v>85</v>
      </c>
      <c r="D6" s="15" t="s">
        <v>87</v>
      </c>
      <c r="E6" s="15" t="s">
        <v>170</v>
      </c>
      <c r="F6" s="16">
        <v>30000</v>
      </c>
      <c r="G6" s="17">
        <v>44742</v>
      </c>
      <c r="H6" s="16"/>
      <c r="I6" s="15"/>
      <c r="J6" s="15"/>
      <c r="K6" s="15"/>
      <c r="L6" s="16"/>
      <c r="M6" s="16"/>
      <c r="N6" s="15" t="s">
        <v>345</v>
      </c>
      <c r="O6" s="15" t="s">
        <v>171</v>
      </c>
      <c r="P6" s="15"/>
    </row>
    <row r="7" spans="1:16" x14ac:dyDescent="0.3">
      <c r="A7" s="15" t="s">
        <v>355</v>
      </c>
      <c r="B7" s="15" t="s">
        <v>34</v>
      </c>
      <c r="C7" s="15" t="s">
        <v>35</v>
      </c>
      <c r="D7" s="15" t="s">
        <v>36</v>
      </c>
      <c r="E7" s="15" t="s">
        <v>173</v>
      </c>
      <c r="F7" s="16">
        <v>20000</v>
      </c>
      <c r="G7" s="17">
        <v>46149</v>
      </c>
      <c r="H7" s="16"/>
      <c r="I7" s="15"/>
      <c r="J7" s="15"/>
      <c r="K7" s="15"/>
      <c r="L7" s="16"/>
      <c r="M7" s="16">
        <v>20000</v>
      </c>
      <c r="N7" s="15" t="s">
        <v>356</v>
      </c>
      <c r="O7" s="15" t="s">
        <v>174</v>
      </c>
      <c r="P7" s="15" t="s">
        <v>357</v>
      </c>
    </row>
    <row r="8" spans="1:16" x14ac:dyDescent="0.3">
      <c r="A8" s="15" t="s">
        <v>358</v>
      </c>
      <c r="B8" s="15" t="s">
        <v>91</v>
      </c>
      <c r="C8" s="15" t="s">
        <v>92</v>
      </c>
      <c r="D8" s="15" t="s">
        <v>94</v>
      </c>
      <c r="E8" s="15" t="s">
        <v>176</v>
      </c>
      <c r="F8" s="16">
        <v>18000</v>
      </c>
      <c r="G8" s="17">
        <v>45505</v>
      </c>
      <c r="H8" s="16"/>
      <c r="I8" s="15"/>
      <c r="J8" s="15"/>
      <c r="K8" s="15"/>
      <c r="L8" s="16"/>
      <c r="M8" s="16"/>
      <c r="N8" s="15" t="s">
        <v>345</v>
      </c>
      <c r="O8" s="15" t="s">
        <v>177</v>
      </c>
      <c r="P8" s="15" t="s">
        <v>359</v>
      </c>
    </row>
    <row r="9" spans="1:16" x14ac:dyDescent="0.3">
      <c r="A9" s="15" t="s">
        <v>360</v>
      </c>
      <c r="B9" s="15" t="s">
        <v>96</v>
      </c>
      <c r="C9" s="15" t="s">
        <v>97</v>
      </c>
      <c r="D9" s="15" t="s">
        <v>99</v>
      </c>
      <c r="E9" s="15" t="s">
        <v>179</v>
      </c>
      <c r="F9" s="16">
        <v>20000</v>
      </c>
      <c r="G9" s="17">
        <v>44440</v>
      </c>
      <c r="H9" s="16"/>
      <c r="I9" s="15"/>
      <c r="J9" s="15"/>
      <c r="K9" s="15"/>
      <c r="L9" s="16"/>
      <c r="M9" s="16"/>
      <c r="N9" s="15" t="s">
        <v>345</v>
      </c>
      <c r="O9" s="15" t="s">
        <v>180</v>
      </c>
      <c r="P9" s="15"/>
    </row>
    <row r="10" spans="1:16" ht="27.6" x14ac:dyDescent="0.3">
      <c r="A10" s="15" t="s">
        <v>361</v>
      </c>
      <c r="B10" s="15" t="s">
        <v>91</v>
      </c>
      <c r="C10" s="15" t="s">
        <v>92</v>
      </c>
      <c r="D10" s="15" t="s">
        <v>258</v>
      </c>
      <c r="E10" s="15" t="s">
        <v>181</v>
      </c>
      <c r="F10" s="16">
        <v>18000</v>
      </c>
      <c r="G10" s="17">
        <v>44440</v>
      </c>
      <c r="H10" s="16"/>
      <c r="I10" s="15"/>
      <c r="J10" s="15" t="s">
        <v>362</v>
      </c>
      <c r="K10" s="15"/>
      <c r="L10" s="16"/>
      <c r="M10" s="16"/>
      <c r="N10" s="15" t="s">
        <v>352</v>
      </c>
      <c r="O10" s="15" t="s">
        <v>183</v>
      </c>
      <c r="P10" s="15" t="s">
        <v>363</v>
      </c>
    </row>
    <row r="11" spans="1:16" x14ac:dyDescent="0.3">
      <c r="A11" s="15" t="s">
        <v>364</v>
      </c>
      <c r="B11" s="15" t="s">
        <v>37</v>
      </c>
      <c r="C11" s="15" t="s">
        <v>38</v>
      </c>
      <c r="D11" s="15" t="s">
        <v>39</v>
      </c>
      <c r="E11" s="15" t="s">
        <v>185</v>
      </c>
      <c r="F11" s="16">
        <v>15000</v>
      </c>
      <c r="G11" s="17">
        <v>46091</v>
      </c>
      <c r="H11" s="16"/>
      <c r="I11" s="15"/>
      <c r="J11" s="15"/>
      <c r="K11" s="15"/>
      <c r="L11" s="16"/>
      <c r="M11" s="16">
        <v>15000</v>
      </c>
      <c r="N11" s="15" t="s">
        <v>356</v>
      </c>
      <c r="O11" s="15" t="s">
        <v>186</v>
      </c>
      <c r="P11" s="15" t="s">
        <v>357</v>
      </c>
    </row>
    <row r="12" spans="1:16" x14ac:dyDescent="0.3">
      <c r="A12" s="15" t="s">
        <v>365</v>
      </c>
      <c r="B12" s="15" t="s">
        <v>40</v>
      </c>
      <c r="C12" s="15" t="s">
        <v>41</v>
      </c>
      <c r="D12" s="15" t="s">
        <v>42</v>
      </c>
      <c r="E12" s="15" t="s">
        <v>188</v>
      </c>
      <c r="F12" s="16">
        <v>15000</v>
      </c>
      <c r="G12" s="17">
        <v>45980</v>
      </c>
      <c r="H12" s="16"/>
      <c r="I12" s="15"/>
      <c r="J12" s="15"/>
      <c r="K12" s="15"/>
      <c r="L12" s="16"/>
      <c r="M12" s="16">
        <v>15000</v>
      </c>
      <c r="N12" s="15" t="s">
        <v>356</v>
      </c>
      <c r="O12" s="15" t="s">
        <v>189</v>
      </c>
      <c r="P12" s="15" t="s">
        <v>357</v>
      </c>
    </row>
    <row r="13" spans="1:16" x14ac:dyDescent="0.3">
      <c r="A13" s="15" t="s">
        <v>366</v>
      </c>
      <c r="B13" s="15" t="s">
        <v>105</v>
      </c>
      <c r="C13" s="15" t="s">
        <v>106</v>
      </c>
      <c r="D13" s="15" t="s">
        <v>42</v>
      </c>
      <c r="E13" s="15" t="s">
        <v>190</v>
      </c>
      <c r="F13" s="16">
        <v>20000</v>
      </c>
      <c r="G13" s="17">
        <v>44803</v>
      </c>
      <c r="H13" s="16"/>
      <c r="I13" s="15"/>
      <c r="J13" s="15"/>
      <c r="K13" s="15"/>
      <c r="L13" s="16"/>
      <c r="M13" s="16"/>
      <c r="N13" s="15" t="s">
        <v>345</v>
      </c>
      <c r="O13" s="15" t="s">
        <v>191</v>
      </c>
      <c r="P13" s="15"/>
    </row>
    <row r="14" spans="1:16" x14ac:dyDescent="0.3">
      <c r="A14" s="15" t="s">
        <v>367</v>
      </c>
      <c r="B14" s="15" t="s">
        <v>109</v>
      </c>
      <c r="C14" s="15" t="s">
        <v>110</v>
      </c>
      <c r="D14" s="15" t="s">
        <v>112</v>
      </c>
      <c r="E14" s="15" t="s">
        <v>193</v>
      </c>
      <c r="F14" s="16">
        <v>20000</v>
      </c>
      <c r="G14" s="17">
        <v>45703</v>
      </c>
      <c r="H14" s="16"/>
      <c r="I14" s="15"/>
      <c r="J14" s="15"/>
      <c r="K14" s="15"/>
      <c r="L14" s="16"/>
      <c r="M14" s="16"/>
      <c r="N14" s="15" t="s">
        <v>345</v>
      </c>
      <c r="O14" s="15" t="s">
        <v>194</v>
      </c>
      <c r="P14" s="15" t="s">
        <v>359</v>
      </c>
    </row>
  </sheetData>
  <conditionalFormatting sqref="N2:N64">
    <cfRule type="cellIs" dxfId="9" priority="1" operator="equal">
      <formula>"Held"</formula>
    </cfRule>
    <cfRule type="cellIs" dxfId="8" priority="2" operator="equal">
      <formula>"Refunded"</formula>
    </cfRule>
    <cfRule type="cellIs" dxfId="7" priority="3" operator="equal">
      <formula>"Unknown"</formula>
    </cfRule>
  </conditionalFormatting>
  <dataValidations count="1">
    <dataValidation type="list" allowBlank="1" sqref="N2:N64" xr:uid="{00000000-0002-0000-0700-000000000000}">
      <formula1>"Held,Refunded,Adjusted,Forfeited,Unknown"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5" width="22" customWidth="1"/>
    <col min="6" max="7" width="16" customWidth="1"/>
    <col min="8" max="8" width="18" customWidth="1"/>
    <col min="9" max="9" width="14" customWidth="1"/>
    <col min="10" max="10" width="18" customWidth="1"/>
    <col min="11" max="15" width="14" customWidth="1"/>
    <col min="16" max="17" width="16" customWidth="1"/>
    <col min="18" max="18" width="30" customWidth="1"/>
  </cols>
  <sheetData>
    <row r="1" spans="1:18" ht="28.8" x14ac:dyDescent="0.3">
      <c r="A1" s="14" t="s">
        <v>20</v>
      </c>
      <c r="B1" s="14" t="s">
        <v>30</v>
      </c>
      <c r="C1" s="14" t="s">
        <v>29</v>
      </c>
      <c r="D1" s="14" t="s">
        <v>368</v>
      </c>
      <c r="E1" s="14" t="s">
        <v>369</v>
      </c>
      <c r="F1" s="14" t="s">
        <v>370</v>
      </c>
      <c r="G1" s="14" t="s">
        <v>371</v>
      </c>
      <c r="H1" s="14" t="s">
        <v>372</v>
      </c>
      <c r="I1" s="14" t="s">
        <v>373</v>
      </c>
      <c r="J1" s="14" t="s">
        <v>374</v>
      </c>
      <c r="K1" s="14" t="s">
        <v>375</v>
      </c>
      <c r="L1" s="14" t="s">
        <v>376</v>
      </c>
      <c r="M1" s="14" t="s">
        <v>377</v>
      </c>
      <c r="N1" s="14" t="s">
        <v>201</v>
      </c>
      <c r="O1" s="14" t="s">
        <v>202</v>
      </c>
      <c r="P1" s="14" t="s">
        <v>203</v>
      </c>
      <c r="Q1" s="14" t="s">
        <v>204</v>
      </c>
      <c r="R1" s="14" t="s">
        <v>157</v>
      </c>
    </row>
    <row r="2" spans="1:18" x14ac:dyDescent="0.3">
      <c r="A2" s="15"/>
      <c r="B2" s="15" t="s">
        <v>36</v>
      </c>
      <c r="C2" s="15" t="s">
        <v>35</v>
      </c>
      <c r="D2" s="15"/>
      <c r="E2" s="15"/>
      <c r="F2" s="15" t="str">
        <f>IF(OR(D2="",E2=""),"",E2-D2)</f>
        <v/>
      </c>
      <c r="G2" s="15"/>
      <c r="H2" s="16" t="str">
        <f>IF(OR(F2="",G2=""),"",F2*G2)</f>
        <v/>
      </c>
      <c r="I2" s="15"/>
      <c r="J2" s="15"/>
      <c r="K2" s="15"/>
      <c r="L2" s="15"/>
      <c r="M2" s="16">
        <f>SUM(H2:L2)</f>
        <v>0</v>
      </c>
      <c r="N2" s="15"/>
      <c r="O2" s="16">
        <f>M2-IF(N2="",0,N2)</f>
        <v>0</v>
      </c>
      <c r="P2" s="15"/>
      <c r="Q2" s="15"/>
      <c r="R2" s="15" t="s">
        <v>209</v>
      </c>
    </row>
    <row r="3" spans="1:18" x14ac:dyDescent="0.3">
      <c r="A3" s="15"/>
      <c r="B3" s="15" t="s">
        <v>39</v>
      </c>
      <c r="C3" s="15" t="s">
        <v>38</v>
      </c>
      <c r="D3" s="15"/>
      <c r="E3" s="15"/>
      <c r="F3" s="15" t="str">
        <f>IF(OR(D3="",E3=""),"",E3-D3)</f>
        <v/>
      </c>
      <c r="G3" s="15"/>
      <c r="H3" s="16" t="str">
        <f>IF(OR(F3="",G3=""),"",F3*G3)</f>
        <v/>
      </c>
      <c r="I3" s="15"/>
      <c r="J3" s="15"/>
      <c r="K3" s="15"/>
      <c r="L3" s="15"/>
      <c r="M3" s="16">
        <f>SUM(H3:L3)</f>
        <v>0</v>
      </c>
      <c r="N3" s="15"/>
      <c r="O3" s="16">
        <f>M3-IF(N3="",0,N3)</f>
        <v>0</v>
      </c>
      <c r="P3" s="15"/>
      <c r="Q3" s="15"/>
      <c r="R3" s="15" t="s">
        <v>209</v>
      </c>
    </row>
    <row r="4" spans="1:18" x14ac:dyDescent="0.3">
      <c r="A4" s="15"/>
      <c r="B4" s="15" t="s">
        <v>42</v>
      </c>
      <c r="C4" s="15" t="s">
        <v>41</v>
      </c>
      <c r="D4" s="15"/>
      <c r="E4" s="15"/>
      <c r="F4" s="15" t="str">
        <f>IF(OR(D4="",E4=""),"",E4-D4)</f>
        <v/>
      </c>
      <c r="G4" s="15"/>
      <c r="H4" s="16" t="str">
        <f>IF(OR(F4="",G4=""),"",F4*G4)</f>
        <v/>
      </c>
      <c r="I4" s="15"/>
      <c r="J4" s="15"/>
      <c r="K4" s="15"/>
      <c r="L4" s="15"/>
      <c r="M4" s="16">
        <f>SUM(H4:L4)</f>
        <v>0</v>
      </c>
      <c r="N4" s="15"/>
      <c r="O4" s="16">
        <f>M4-IF(N4="",0,N4)</f>
        <v>0</v>
      </c>
      <c r="P4" s="15"/>
      <c r="Q4" s="15"/>
      <c r="R4" s="15" t="s">
        <v>209</v>
      </c>
    </row>
  </sheetData>
  <dataValidations count="1">
    <dataValidation type="list" allowBlank="1" sqref="Q2:Q204" xr:uid="{00000000-0002-0000-0800-000000000000}">
      <formula1>"Cash,UPI,Bank Transfer,Cheque,Online,Other"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8F00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30" customWidth="1"/>
    <col min="5" max="6" width="22" customWidth="1"/>
    <col min="7" max="7" width="14" customWidth="1"/>
    <col min="8" max="8" width="16" customWidth="1"/>
    <col min="9" max="9" width="22" customWidth="1"/>
    <col min="10" max="10" width="16" customWidth="1"/>
    <col min="11" max="11" width="22" customWidth="1"/>
    <col min="12" max="12" width="30" customWidth="1"/>
  </cols>
  <sheetData>
    <row r="1" spans="1:12" x14ac:dyDescent="0.3">
      <c r="A1" s="14" t="s">
        <v>378</v>
      </c>
      <c r="B1" s="14" t="s">
        <v>285</v>
      </c>
      <c r="C1" s="14" t="s">
        <v>379</v>
      </c>
      <c r="D1" s="14" t="s">
        <v>117</v>
      </c>
      <c r="E1" s="14" t="s">
        <v>380</v>
      </c>
      <c r="F1" s="14" t="s">
        <v>381</v>
      </c>
      <c r="G1" s="14" t="s">
        <v>382</v>
      </c>
      <c r="H1" s="14" t="s">
        <v>204</v>
      </c>
      <c r="I1" s="14" t="s">
        <v>383</v>
      </c>
      <c r="J1" s="14" t="s">
        <v>384</v>
      </c>
      <c r="K1" s="14" t="s">
        <v>156</v>
      </c>
      <c r="L1" s="14" t="s">
        <v>157</v>
      </c>
    </row>
    <row r="2" spans="1:12" ht="27.6" x14ac:dyDescent="0.3">
      <c r="A2" s="15" t="s">
        <v>385</v>
      </c>
      <c r="B2" s="15"/>
      <c r="C2" s="15"/>
      <c r="D2" s="15"/>
      <c r="E2" s="15"/>
      <c r="F2" s="15"/>
      <c r="G2" s="16"/>
      <c r="H2" s="15"/>
      <c r="I2" s="15"/>
      <c r="J2" s="15"/>
      <c r="K2" s="15"/>
      <c r="L2" s="15" t="s">
        <v>386</v>
      </c>
    </row>
  </sheetData>
  <dataValidations count="2">
    <dataValidation type="list" allowBlank="1" sqref="C2:C500" xr:uid="{00000000-0002-0000-0900-000000000000}">
      <formula1>"Electricity,Water,Cleaning,Repairs,Plumbing,Electrical,Lift Maintenance,Security,Property Tax,Insurance,Internet,Painting,Other"</formula1>
    </dataValidation>
    <dataValidation type="list" allowBlank="1" sqref="H2:H500" xr:uid="{00000000-0002-0000-0900-000001000000}">
      <formula1>"Cash,UPI,Bank Transfer,Cheque,Online,Other"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O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2" customWidth="1"/>
    <col min="4" max="5" width="16" customWidth="1"/>
    <col min="6" max="6" width="14" customWidth="1"/>
    <col min="7" max="7" width="18" customWidth="1"/>
    <col min="8" max="8" width="35" customWidth="1"/>
    <col min="9" max="12" width="16" customWidth="1"/>
    <col min="13" max="13" width="18" customWidth="1"/>
    <col min="14" max="14" width="16" customWidth="1"/>
    <col min="15" max="15" width="35" customWidth="1"/>
  </cols>
  <sheetData>
    <row r="1" spans="1:15" ht="28.8" x14ac:dyDescent="0.3">
      <c r="A1" s="14" t="s">
        <v>28</v>
      </c>
      <c r="B1" s="14" t="s">
        <v>29</v>
      </c>
      <c r="C1" s="14" t="s">
        <v>61</v>
      </c>
      <c r="D1" s="14" t="s">
        <v>387</v>
      </c>
      <c r="E1" s="14" t="s">
        <v>388</v>
      </c>
      <c r="F1" s="14" t="s">
        <v>389</v>
      </c>
      <c r="G1" s="14" t="s">
        <v>390</v>
      </c>
      <c r="H1" s="14" t="s">
        <v>391</v>
      </c>
      <c r="I1" s="14" t="s">
        <v>21</v>
      </c>
      <c r="J1" s="14" t="s">
        <v>150</v>
      </c>
      <c r="K1" s="14" t="s">
        <v>392</v>
      </c>
      <c r="L1" s="14" t="s">
        <v>393</v>
      </c>
      <c r="M1" s="14" t="s">
        <v>394</v>
      </c>
      <c r="N1" s="14" t="s">
        <v>122</v>
      </c>
      <c r="O1" s="14" t="s">
        <v>395</v>
      </c>
    </row>
    <row r="2" spans="1:15" x14ac:dyDescent="0.3">
      <c r="A2" s="15" t="s">
        <v>68</v>
      </c>
      <c r="B2" s="15" t="s">
        <v>69</v>
      </c>
      <c r="C2" s="15" t="s">
        <v>71</v>
      </c>
      <c r="D2" s="16"/>
      <c r="E2" s="15" t="s">
        <v>72</v>
      </c>
      <c r="F2" s="15">
        <v>1</v>
      </c>
      <c r="G2" s="15">
        <v>10</v>
      </c>
      <c r="H2" s="15" t="s">
        <v>71</v>
      </c>
      <c r="I2" s="16"/>
      <c r="J2" s="16"/>
      <c r="K2" s="16"/>
      <c r="L2" s="16">
        <v>20000</v>
      </c>
      <c r="M2" s="15">
        <v>1</v>
      </c>
      <c r="N2" s="15" t="s">
        <v>46</v>
      </c>
      <c r="O2" s="15" t="s">
        <v>396</v>
      </c>
    </row>
    <row r="3" spans="1:15" x14ac:dyDescent="0.3">
      <c r="A3" s="15" t="s">
        <v>74</v>
      </c>
      <c r="B3" s="15" t="s">
        <v>75</v>
      </c>
      <c r="C3" s="15" t="s">
        <v>77</v>
      </c>
      <c r="D3" s="16"/>
      <c r="E3" s="15" t="s">
        <v>72</v>
      </c>
      <c r="F3" s="15">
        <v>2</v>
      </c>
      <c r="G3" s="15">
        <v>54</v>
      </c>
      <c r="H3" s="15" t="s">
        <v>397</v>
      </c>
      <c r="I3" s="16"/>
      <c r="J3" s="16"/>
      <c r="K3" s="16"/>
      <c r="L3" s="16">
        <v>200000</v>
      </c>
      <c r="M3" s="15">
        <v>3</v>
      </c>
      <c r="N3" s="15" t="s">
        <v>46</v>
      </c>
      <c r="O3" s="15" t="s">
        <v>396</v>
      </c>
    </row>
    <row r="4" spans="1:15" x14ac:dyDescent="0.3">
      <c r="A4" s="15" t="s">
        <v>79</v>
      </c>
      <c r="B4" s="15" t="s">
        <v>80</v>
      </c>
      <c r="C4" s="15" t="s">
        <v>82</v>
      </c>
      <c r="D4" s="16"/>
      <c r="E4" s="15" t="s">
        <v>72</v>
      </c>
      <c r="F4" s="15">
        <v>1</v>
      </c>
      <c r="G4" s="15">
        <v>10</v>
      </c>
      <c r="H4" s="15" t="s">
        <v>82</v>
      </c>
      <c r="I4" s="16"/>
      <c r="J4" s="16"/>
      <c r="K4" s="16"/>
      <c r="L4" s="16">
        <v>20000</v>
      </c>
      <c r="M4" s="15">
        <v>1</v>
      </c>
      <c r="N4" s="15" t="s">
        <v>46</v>
      </c>
      <c r="O4" s="15" t="s">
        <v>396</v>
      </c>
    </row>
    <row r="5" spans="1:15" x14ac:dyDescent="0.3">
      <c r="A5" s="15" t="s">
        <v>84</v>
      </c>
      <c r="B5" s="15" t="s">
        <v>85</v>
      </c>
      <c r="C5" s="15" t="s">
        <v>87</v>
      </c>
      <c r="D5" s="16"/>
      <c r="E5" s="15" t="s">
        <v>72</v>
      </c>
      <c r="F5" s="15">
        <v>1</v>
      </c>
      <c r="G5" s="15">
        <v>11</v>
      </c>
      <c r="H5" s="15" t="s">
        <v>87</v>
      </c>
      <c r="I5" s="16"/>
      <c r="J5" s="16"/>
      <c r="K5" s="16"/>
      <c r="L5" s="16">
        <v>30000</v>
      </c>
      <c r="M5" s="15">
        <v>1</v>
      </c>
      <c r="N5" s="15" t="s">
        <v>46</v>
      </c>
      <c r="O5" s="15" t="s">
        <v>396</v>
      </c>
    </row>
    <row r="6" spans="1:15" x14ac:dyDescent="0.3">
      <c r="A6" s="15" t="s">
        <v>34</v>
      </c>
      <c r="B6" s="15" t="s">
        <v>35</v>
      </c>
      <c r="C6" s="15" t="s">
        <v>36</v>
      </c>
      <c r="D6" s="16">
        <v>3000</v>
      </c>
      <c r="E6" s="15" t="s">
        <v>45</v>
      </c>
      <c r="F6" s="15">
        <v>1</v>
      </c>
      <c r="G6" s="15">
        <v>3</v>
      </c>
      <c r="H6" s="15"/>
      <c r="I6" s="16"/>
      <c r="J6" s="16"/>
      <c r="K6" s="16"/>
      <c r="L6" s="16">
        <v>20000</v>
      </c>
      <c r="M6" s="15">
        <v>1</v>
      </c>
      <c r="N6" s="15" t="s">
        <v>45</v>
      </c>
      <c r="O6" s="15" t="s">
        <v>398</v>
      </c>
    </row>
    <row r="7" spans="1:15" x14ac:dyDescent="0.3">
      <c r="A7" s="15" t="s">
        <v>91</v>
      </c>
      <c r="B7" s="15" t="s">
        <v>92</v>
      </c>
      <c r="C7" s="15" t="s">
        <v>94</v>
      </c>
      <c r="D7" s="16"/>
      <c r="E7" s="15" t="s">
        <v>72</v>
      </c>
      <c r="F7" s="15">
        <v>2</v>
      </c>
      <c r="G7" s="15">
        <v>21</v>
      </c>
      <c r="H7" s="15" t="s">
        <v>399</v>
      </c>
      <c r="I7" s="16"/>
      <c r="J7" s="16"/>
      <c r="K7" s="16"/>
      <c r="L7" s="16">
        <v>36000</v>
      </c>
      <c r="M7" s="15">
        <v>2</v>
      </c>
      <c r="N7" s="15" t="s">
        <v>46</v>
      </c>
      <c r="O7" s="15" t="s">
        <v>396</v>
      </c>
    </row>
    <row r="8" spans="1:15" x14ac:dyDescent="0.3">
      <c r="A8" s="15" t="s">
        <v>96</v>
      </c>
      <c r="B8" s="15" t="s">
        <v>97</v>
      </c>
      <c r="C8" s="15" t="s">
        <v>99</v>
      </c>
      <c r="D8" s="16"/>
      <c r="E8" s="15" t="s">
        <v>72</v>
      </c>
      <c r="F8" s="15">
        <v>1</v>
      </c>
      <c r="G8" s="15">
        <v>11</v>
      </c>
      <c r="H8" s="15" t="s">
        <v>99</v>
      </c>
      <c r="I8" s="16"/>
      <c r="J8" s="16"/>
      <c r="K8" s="16"/>
      <c r="L8" s="16">
        <v>20000</v>
      </c>
      <c r="M8" s="15">
        <v>1</v>
      </c>
      <c r="N8" s="15" t="s">
        <v>46</v>
      </c>
      <c r="O8" s="15" t="s">
        <v>396</v>
      </c>
    </row>
    <row r="9" spans="1:15" x14ac:dyDescent="0.3">
      <c r="A9" s="15" t="s">
        <v>37</v>
      </c>
      <c r="B9" s="15" t="s">
        <v>38</v>
      </c>
      <c r="C9" s="15" t="s">
        <v>39</v>
      </c>
      <c r="D9" s="16">
        <v>3000</v>
      </c>
      <c r="E9" s="15" t="s">
        <v>45</v>
      </c>
      <c r="F9" s="15">
        <v>1</v>
      </c>
      <c r="G9" s="15">
        <v>5</v>
      </c>
      <c r="H9" s="15"/>
      <c r="I9" s="16"/>
      <c r="J9" s="16"/>
      <c r="K9" s="16"/>
      <c r="L9" s="16">
        <v>15000</v>
      </c>
      <c r="M9" s="15">
        <v>1</v>
      </c>
      <c r="N9" s="15" t="s">
        <v>45</v>
      </c>
      <c r="O9" s="15" t="s">
        <v>398</v>
      </c>
    </row>
    <row r="10" spans="1:15" x14ac:dyDescent="0.3">
      <c r="A10" s="15" t="s">
        <v>40</v>
      </c>
      <c r="B10" s="15" t="s">
        <v>41</v>
      </c>
      <c r="C10" s="15" t="s">
        <v>42</v>
      </c>
      <c r="D10" s="16">
        <v>4200</v>
      </c>
      <c r="E10" s="15" t="s">
        <v>45</v>
      </c>
      <c r="F10" s="15">
        <v>1</v>
      </c>
      <c r="G10" s="15">
        <v>9</v>
      </c>
      <c r="H10" s="15"/>
      <c r="I10" s="16"/>
      <c r="J10" s="16"/>
      <c r="K10" s="16"/>
      <c r="L10" s="16">
        <v>15000</v>
      </c>
      <c r="M10" s="15">
        <v>1</v>
      </c>
      <c r="N10" s="15" t="s">
        <v>45</v>
      </c>
      <c r="O10" s="15" t="s">
        <v>398</v>
      </c>
    </row>
    <row r="11" spans="1:15" x14ac:dyDescent="0.3">
      <c r="A11" s="15" t="s">
        <v>105</v>
      </c>
      <c r="B11" s="15" t="s">
        <v>106</v>
      </c>
      <c r="C11" s="15" t="s">
        <v>42</v>
      </c>
      <c r="D11" s="16"/>
      <c r="E11" s="15" t="s">
        <v>72</v>
      </c>
      <c r="F11" s="15">
        <v>1</v>
      </c>
      <c r="G11" s="15">
        <v>10</v>
      </c>
      <c r="H11" s="15" t="s">
        <v>42</v>
      </c>
      <c r="I11" s="16"/>
      <c r="J11" s="16"/>
      <c r="K11" s="16"/>
      <c r="L11" s="16">
        <v>20000</v>
      </c>
      <c r="M11" s="15">
        <v>1</v>
      </c>
      <c r="N11" s="15" t="s">
        <v>46</v>
      </c>
      <c r="O11" s="15" t="s">
        <v>396</v>
      </c>
    </row>
    <row r="12" spans="1:15" x14ac:dyDescent="0.3">
      <c r="A12" s="15" t="s">
        <v>109</v>
      </c>
      <c r="B12" s="15" t="s">
        <v>110</v>
      </c>
      <c r="C12" s="15" t="s">
        <v>112</v>
      </c>
      <c r="D12" s="16"/>
      <c r="E12" s="15" t="s">
        <v>72</v>
      </c>
      <c r="F12" s="15">
        <v>1</v>
      </c>
      <c r="G12" s="15">
        <v>11</v>
      </c>
      <c r="H12" s="15" t="s">
        <v>112</v>
      </c>
      <c r="I12" s="16"/>
      <c r="J12" s="16"/>
      <c r="K12" s="16"/>
      <c r="L12" s="16">
        <v>20000</v>
      </c>
      <c r="M12" s="15">
        <v>1</v>
      </c>
      <c r="N12" s="15" t="s">
        <v>46</v>
      </c>
      <c r="O12" s="15" t="s">
        <v>396</v>
      </c>
    </row>
  </sheetData>
  <conditionalFormatting sqref="E2:E62">
    <cfRule type="cellIs" dxfId="6" priority="1" operator="equal">
      <formula>"Active"</formula>
    </cfRule>
    <cfRule type="cellIs" dxfId="5" priority="2" operator="equal">
      <formula>"Inactive"</formula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K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0" customWidth="1"/>
    <col min="4" max="5" width="25" customWidth="1"/>
    <col min="6" max="6" width="18" customWidth="1"/>
    <col min="7" max="7" width="22" customWidth="1"/>
    <col min="8" max="8" width="14" customWidth="1"/>
    <col min="9" max="9" width="40" customWidth="1"/>
    <col min="10" max="10" width="12" customWidth="1"/>
    <col min="11" max="11" width="50" customWidth="1"/>
  </cols>
  <sheetData>
    <row r="1" spans="1:11" x14ac:dyDescent="0.3">
      <c r="A1" s="14" t="s">
        <v>400</v>
      </c>
      <c r="B1" s="14" t="s">
        <v>401</v>
      </c>
      <c r="C1" s="14" t="s">
        <v>117</v>
      </c>
      <c r="D1" s="14" t="s">
        <v>156</v>
      </c>
      <c r="E1" s="14" t="s">
        <v>402</v>
      </c>
      <c r="F1" s="14" t="s">
        <v>403</v>
      </c>
      <c r="G1" s="14" t="s">
        <v>404</v>
      </c>
      <c r="H1" s="14" t="s">
        <v>405</v>
      </c>
      <c r="I1" s="14" t="s">
        <v>406</v>
      </c>
      <c r="J1" s="14" t="s">
        <v>343</v>
      </c>
      <c r="K1" s="14" t="s">
        <v>67</v>
      </c>
    </row>
    <row r="2" spans="1:11" ht="41.4" x14ac:dyDescent="0.3">
      <c r="A2" s="15" t="s">
        <v>407</v>
      </c>
      <c r="B2" s="15" t="s">
        <v>408</v>
      </c>
      <c r="C2" s="15" t="s">
        <v>409</v>
      </c>
      <c r="D2" s="15" t="s">
        <v>183</v>
      </c>
      <c r="E2" s="15" t="s">
        <v>410</v>
      </c>
      <c r="F2" s="15" t="s">
        <v>91</v>
      </c>
      <c r="G2" s="15" t="s">
        <v>258</v>
      </c>
      <c r="H2" s="15" t="s">
        <v>411</v>
      </c>
      <c r="I2" s="15" t="s">
        <v>412</v>
      </c>
      <c r="J2" s="15" t="s">
        <v>413</v>
      </c>
      <c r="K2" s="15" t="s">
        <v>414</v>
      </c>
    </row>
    <row r="3" spans="1:11" ht="41.4" x14ac:dyDescent="0.3">
      <c r="A3" s="15" t="s">
        <v>415</v>
      </c>
      <c r="B3" s="15" t="s">
        <v>416</v>
      </c>
      <c r="C3" s="15" t="s">
        <v>417</v>
      </c>
      <c r="D3" s="15" t="s">
        <v>418</v>
      </c>
      <c r="E3" s="15" t="s">
        <v>419</v>
      </c>
      <c r="F3" s="15" t="s">
        <v>74</v>
      </c>
      <c r="G3" s="15" t="s">
        <v>112</v>
      </c>
      <c r="H3" s="15" t="s">
        <v>420</v>
      </c>
      <c r="I3" s="15" t="s">
        <v>421</v>
      </c>
      <c r="J3" s="15" t="s">
        <v>422</v>
      </c>
      <c r="K3" s="15" t="s">
        <v>423</v>
      </c>
    </row>
    <row r="4" spans="1:11" ht="41.4" x14ac:dyDescent="0.3">
      <c r="A4" s="15" t="s">
        <v>424</v>
      </c>
      <c r="B4" s="15" t="s">
        <v>425</v>
      </c>
      <c r="C4" s="15" t="s">
        <v>426</v>
      </c>
      <c r="D4" s="15" t="s">
        <v>418</v>
      </c>
      <c r="E4" s="15" t="s">
        <v>427</v>
      </c>
      <c r="F4" s="15" t="s">
        <v>428</v>
      </c>
      <c r="G4" s="15" t="s">
        <v>42</v>
      </c>
      <c r="H4" s="15" t="s">
        <v>429</v>
      </c>
      <c r="I4" s="15" t="s">
        <v>430</v>
      </c>
      <c r="J4" s="15" t="s">
        <v>413</v>
      </c>
      <c r="K4" s="15"/>
    </row>
    <row r="5" spans="1:11" ht="27.6" x14ac:dyDescent="0.3">
      <c r="A5" s="15" t="s">
        <v>431</v>
      </c>
      <c r="B5" s="15" t="s">
        <v>425</v>
      </c>
      <c r="C5" s="15" t="s">
        <v>432</v>
      </c>
      <c r="D5" s="15" t="s">
        <v>418</v>
      </c>
      <c r="E5" s="15" t="s">
        <v>433</v>
      </c>
      <c r="F5" s="15" t="s">
        <v>434</v>
      </c>
      <c r="G5" s="15" t="s">
        <v>36</v>
      </c>
      <c r="H5" s="15" t="s">
        <v>429</v>
      </c>
      <c r="I5" s="15" t="s">
        <v>435</v>
      </c>
      <c r="J5" s="15" t="s">
        <v>413</v>
      </c>
      <c r="K5" s="15"/>
    </row>
    <row r="6" spans="1:11" ht="27.6" x14ac:dyDescent="0.3">
      <c r="A6" s="15" t="s">
        <v>436</v>
      </c>
      <c r="B6" s="15" t="s">
        <v>425</v>
      </c>
      <c r="C6" s="15" t="s">
        <v>437</v>
      </c>
      <c r="D6" s="15" t="s">
        <v>418</v>
      </c>
      <c r="E6" s="15" t="s">
        <v>438</v>
      </c>
      <c r="F6" s="15" t="s">
        <v>439</v>
      </c>
      <c r="G6" s="15" t="s">
        <v>112</v>
      </c>
      <c r="H6" s="15" t="s">
        <v>411</v>
      </c>
      <c r="I6" s="15" t="s">
        <v>440</v>
      </c>
      <c r="J6" s="15" t="s">
        <v>413</v>
      </c>
      <c r="K6" s="15" t="s">
        <v>441</v>
      </c>
    </row>
    <row r="7" spans="1:11" ht="27.6" x14ac:dyDescent="0.3">
      <c r="A7" s="15" t="s">
        <v>442</v>
      </c>
      <c r="B7" s="15" t="s">
        <v>443</v>
      </c>
      <c r="C7" s="15" t="s">
        <v>444</v>
      </c>
      <c r="D7" s="15" t="s">
        <v>445</v>
      </c>
      <c r="E7" s="15" t="s">
        <v>446</v>
      </c>
      <c r="F7" s="15" t="s">
        <v>37</v>
      </c>
      <c r="G7" s="15" t="s">
        <v>39</v>
      </c>
      <c r="H7" s="15" t="s">
        <v>447</v>
      </c>
      <c r="I7" s="15" t="s">
        <v>448</v>
      </c>
      <c r="J7" s="15" t="s">
        <v>413</v>
      </c>
      <c r="K7" s="15"/>
    </row>
    <row r="8" spans="1:11" ht="41.4" x14ac:dyDescent="0.3">
      <c r="A8" s="15" t="s">
        <v>449</v>
      </c>
      <c r="B8" s="15" t="s">
        <v>443</v>
      </c>
      <c r="C8" s="15" t="s">
        <v>450</v>
      </c>
      <c r="D8" s="15" t="s">
        <v>445</v>
      </c>
      <c r="E8" s="15" t="s">
        <v>451</v>
      </c>
      <c r="F8" s="15" t="s">
        <v>452</v>
      </c>
      <c r="G8" s="15" t="s">
        <v>452</v>
      </c>
      <c r="H8" s="15" t="s">
        <v>447</v>
      </c>
      <c r="I8" s="15" t="s">
        <v>453</v>
      </c>
      <c r="J8" s="15" t="s">
        <v>413</v>
      </c>
      <c r="K8" s="15"/>
    </row>
    <row r="9" spans="1:11" ht="41.4" x14ac:dyDescent="0.3">
      <c r="A9" s="15" t="s">
        <v>454</v>
      </c>
      <c r="B9" s="15" t="s">
        <v>455</v>
      </c>
      <c r="C9" s="15" t="s">
        <v>456</v>
      </c>
      <c r="D9" s="15" t="s">
        <v>445</v>
      </c>
      <c r="E9" s="15" t="s">
        <v>457</v>
      </c>
      <c r="F9" s="15" t="s">
        <v>452</v>
      </c>
      <c r="G9" s="15" t="s">
        <v>452</v>
      </c>
      <c r="H9" s="15" t="s">
        <v>429</v>
      </c>
      <c r="I9" s="15" t="s">
        <v>458</v>
      </c>
      <c r="J9" s="15" t="s">
        <v>413</v>
      </c>
      <c r="K9" s="15"/>
    </row>
    <row r="10" spans="1:11" ht="27.6" x14ac:dyDescent="0.3">
      <c r="A10" s="15" t="s">
        <v>459</v>
      </c>
      <c r="B10" s="15" t="s">
        <v>460</v>
      </c>
      <c r="C10" s="15" t="s">
        <v>461</v>
      </c>
      <c r="D10" s="15" t="s">
        <v>445</v>
      </c>
      <c r="E10" s="15" t="s">
        <v>462</v>
      </c>
      <c r="F10" s="15" t="s">
        <v>34</v>
      </c>
      <c r="G10" s="15" t="s">
        <v>36</v>
      </c>
      <c r="H10" s="15" t="s">
        <v>447</v>
      </c>
      <c r="I10" s="15" t="s">
        <v>463</v>
      </c>
      <c r="J10" s="15" t="s">
        <v>413</v>
      </c>
      <c r="K10" s="15" t="s">
        <v>464</v>
      </c>
    </row>
    <row r="11" spans="1:11" ht="27.6" x14ac:dyDescent="0.3">
      <c r="A11" s="15" t="s">
        <v>465</v>
      </c>
      <c r="B11" s="15" t="s">
        <v>460</v>
      </c>
      <c r="C11" s="15" t="s">
        <v>466</v>
      </c>
      <c r="D11" s="15" t="s">
        <v>445</v>
      </c>
      <c r="E11" s="15" t="s">
        <v>467</v>
      </c>
      <c r="F11" s="15" t="s">
        <v>109</v>
      </c>
      <c r="G11" s="15" t="s">
        <v>112</v>
      </c>
      <c r="H11" s="15" t="s">
        <v>447</v>
      </c>
      <c r="I11" s="15" t="s">
        <v>468</v>
      </c>
      <c r="J11" s="15" t="s">
        <v>413</v>
      </c>
      <c r="K11" s="15"/>
    </row>
    <row r="12" spans="1:11" ht="41.4" x14ac:dyDescent="0.3">
      <c r="A12" s="15" t="s">
        <v>469</v>
      </c>
      <c r="B12" s="15" t="s">
        <v>470</v>
      </c>
      <c r="C12" s="15" t="s">
        <v>471</v>
      </c>
      <c r="D12" s="15" t="s">
        <v>418</v>
      </c>
      <c r="E12" s="15" t="s">
        <v>472</v>
      </c>
      <c r="F12" s="15"/>
      <c r="G12" s="15"/>
      <c r="H12" s="15" t="s">
        <v>420</v>
      </c>
      <c r="I12" s="15" t="s">
        <v>473</v>
      </c>
      <c r="J12" s="15" t="s">
        <v>413</v>
      </c>
      <c r="K12" s="15" t="s">
        <v>474</v>
      </c>
    </row>
    <row r="13" spans="1:11" ht="41.4" x14ac:dyDescent="0.3">
      <c r="A13" s="15" t="s">
        <v>475</v>
      </c>
      <c r="B13" s="15" t="s">
        <v>476</v>
      </c>
      <c r="C13" s="15" t="s">
        <v>477</v>
      </c>
      <c r="D13" s="15" t="s">
        <v>478</v>
      </c>
      <c r="E13" s="15" t="s">
        <v>479</v>
      </c>
      <c r="F13" s="15"/>
      <c r="G13" s="15"/>
      <c r="H13" s="15" t="s">
        <v>411</v>
      </c>
      <c r="I13" s="15" t="s">
        <v>480</v>
      </c>
      <c r="J13" s="15" t="s">
        <v>413</v>
      </c>
      <c r="K13" s="15" t="s">
        <v>481</v>
      </c>
    </row>
    <row r="14" spans="1:11" ht="27.6" x14ac:dyDescent="0.3">
      <c r="A14" s="15" t="s">
        <v>482</v>
      </c>
      <c r="B14" s="15" t="s">
        <v>476</v>
      </c>
      <c r="C14" s="15" t="s">
        <v>483</v>
      </c>
      <c r="D14" s="15" t="s">
        <v>478</v>
      </c>
      <c r="E14" s="15" t="s">
        <v>479</v>
      </c>
      <c r="F14" s="15" t="s">
        <v>484</v>
      </c>
      <c r="G14" s="15"/>
      <c r="H14" s="15" t="s">
        <v>429</v>
      </c>
      <c r="I14" s="15" t="s">
        <v>485</v>
      </c>
      <c r="J14" s="15" t="s">
        <v>413</v>
      </c>
      <c r="K14" s="15" t="s">
        <v>486</v>
      </c>
    </row>
    <row r="15" spans="1:11" ht="41.4" x14ac:dyDescent="0.3">
      <c r="A15" s="15" t="s">
        <v>487</v>
      </c>
      <c r="B15" s="15" t="s">
        <v>488</v>
      </c>
      <c r="C15" s="15" t="s">
        <v>489</v>
      </c>
      <c r="D15" s="15" t="s">
        <v>418</v>
      </c>
      <c r="E15" s="15" t="s">
        <v>490</v>
      </c>
      <c r="F15" s="15" t="s">
        <v>74</v>
      </c>
      <c r="G15" s="15" t="s">
        <v>112</v>
      </c>
      <c r="H15" s="15" t="s">
        <v>447</v>
      </c>
      <c r="I15" s="15" t="s">
        <v>491</v>
      </c>
      <c r="J15" s="15" t="s">
        <v>413</v>
      </c>
      <c r="K15" s="15"/>
    </row>
    <row r="16" spans="1:11" ht="41.4" x14ac:dyDescent="0.3">
      <c r="A16" s="15" t="s">
        <v>492</v>
      </c>
      <c r="B16" s="15" t="s">
        <v>493</v>
      </c>
      <c r="C16" s="15" t="s">
        <v>494</v>
      </c>
      <c r="D16" s="15" t="s">
        <v>418</v>
      </c>
      <c r="E16" s="15" t="s">
        <v>419</v>
      </c>
      <c r="F16" s="15" t="s">
        <v>74</v>
      </c>
      <c r="G16" s="15" t="s">
        <v>112</v>
      </c>
      <c r="H16" s="15" t="s">
        <v>411</v>
      </c>
      <c r="I16" s="15" t="s">
        <v>495</v>
      </c>
      <c r="J16" s="15" t="s">
        <v>413</v>
      </c>
      <c r="K16" s="15" t="s">
        <v>496</v>
      </c>
    </row>
  </sheetData>
  <conditionalFormatting sqref="H2:H66">
    <cfRule type="cellIs" dxfId="4" priority="1" operator="equal">
      <formula>"Critical"</formula>
    </cfRule>
    <cfRule type="cellIs" dxfId="3" priority="2" operator="equal">
      <formula>"High"</formula>
    </cfRule>
    <cfRule type="cellIs" dxfId="2" priority="3" operator="equal">
      <formula>"Medium"</formula>
    </cfRule>
    <cfRule type="cellIs" dxfId="1" priority="4" operator="equal">
      <formula>"Low"</formula>
    </cfRule>
    <cfRule type="cellIs" dxfId="0" priority="5" operator="equal">
      <formula>"Informational"</formula>
    </cfRule>
  </conditionalFormatting>
  <dataValidations count="2">
    <dataValidation type="list" allowBlank="1" sqref="H2:H116" xr:uid="{00000000-0002-0000-0B00-000000000000}">
      <formula1>"Critical,High,Medium,Low,Informational"</formula1>
    </dataValidation>
    <dataValidation type="list" allowBlank="1" sqref="J2:J116" xr:uid="{00000000-0002-0000-0B00-000001000000}">
      <formula1>"Open,In Progress,Resolved,Deferred"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M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40" customWidth="1"/>
    <col min="4" max="4" width="35" customWidth="1"/>
    <col min="5" max="5" width="45" customWidth="1"/>
    <col min="6" max="7" width="18" customWidth="1"/>
    <col min="8" max="9" width="14" customWidth="1"/>
    <col min="10" max="10" width="16" customWidth="1"/>
    <col min="11" max="11" width="28" customWidth="1"/>
    <col min="12" max="12" width="22" customWidth="1"/>
    <col min="13" max="13" width="60" customWidth="1"/>
  </cols>
  <sheetData>
    <row r="1" spans="1:13" ht="28.8" x14ac:dyDescent="0.3">
      <c r="A1" s="14" t="s">
        <v>497</v>
      </c>
      <c r="B1" s="14" t="s">
        <v>29</v>
      </c>
      <c r="C1" s="14" t="s">
        <v>115</v>
      </c>
      <c r="D1" s="14" t="s">
        <v>57</v>
      </c>
      <c r="E1" s="14" t="s">
        <v>52</v>
      </c>
      <c r="F1" s="14" t="s">
        <v>153</v>
      </c>
      <c r="G1" s="14" t="s">
        <v>154</v>
      </c>
      <c r="H1" s="14" t="s">
        <v>498</v>
      </c>
      <c r="I1" s="14" t="s">
        <v>31</v>
      </c>
      <c r="J1" s="14" t="s">
        <v>64</v>
      </c>
      <c r="K1" s="14" t="s">
        <v>214</v>
      </c>
      <c r="L1" s="14" t="s">
        <v>499</v>
      </c>
      <c r="M1" s="14" t="s">
        <v>500</v>
      </c>
    </row>
    <row r="2" spans="1:13" ht="27.6" x14ac:dyDescent="0.3">
      <c r="A2" s="15">
        <v>1</v>
      </c>
      <c r="B2" s="15" t="s">
        <v>69</v>
      </c>
      <c r="C2" s="15" t="s">
        <v>501</v>
      </c>
      <c r="D2" s="15" t="s">
        <v>47</v>
      </c>
      <c r="E2" s="15" t="s">
        <v>70</v>
      </c>
      <c r="F2" s="17">
        <v>44531</v>
      </c>
      <c r="G2" s="17">
        <v>44865</v>
      </c>
      <c r="H2" s="15" t="s">
        <v>502</v>
      </c>
      <c r="I2" s="16">
        <v>4000</v>
      </c>
      <c r="J2" s="16">
        <v>20000</v>
      </c>
      <c r="K2" s="15" t="s">
        <v>503</v>
      </c>
      <c r="L2" s="15" t="s">
        <v>219</v>
      </c>
      <c r="M2" s="15" t="s">
        <v>504</v>
      </c>
    </row>
    <row r="3" spans="1:13" ht="27.6" x14ac:dyDescent="0.3">
      <c r="A3" s="15">
        <v>2</v>
      </c>
      <c r="B3" s="15" t="s">
        <v>505</v>
      </c>
      <c r="C3" s="15" t="s">
        <v>506</v>
      </c>
      <c r="D3" s="15" t="s">
        <v>48</v>
      </c>
      <c r="E3" s="15" t="s">
        <v>507</v>
      </c>
      <c r="F3" s="17">
        <v>44439</v>
      </c>
      <c r="G3" s="17">
        <v>44773</v>
      </c>
      <c r="H3" s="15" t="s">
        <v>502</v>
      </c>
      <c r="I3" s="16">
        <v>18000</v>
      </c>
      <c r="J3" s="16">
        <v>125000</v>
      </c>
      <c r="K3" s="15" t="s">
        <v>503</v>
      </c>
      <c r="L3" s="15" t="s">
        <v>219</v>
      </c>
      <c r="M3" s="15" t="s">
        <v>508</v>
      </c>
    </row>
    <row r="4" spans="1:13" x14ac:dyDescent="0.3">
      <c r="A4" s="15">
        <v>3</v>
      </c>
      <c r="B4" s="15" t="s">
        <v>80</v>
      </c>
      <c r="C4" s="15" t="s">
        <v>509</v>
      </c>
      <c r="D4" s="15" t="s">
        <v>47</v>
      </c>
      <c r="E4" s="15" t="s">
        <v>81</v>
      </c>
      <c r="F4" s="17">
        <v>43647</v>
      </c>
      <c r="G4" s="15"/>
      <c r="H4" s="15" t="s">
        <v>502</v>
      </c>
      <c r="I4" s="16">
        <v>4000</v>
      </c>
      <c r="J4" s="16">
        <v>20000</v>
      </c>
      <c r="K4" s="15" t="s">
        <v>510</v>
      </c>
      <c r="L4" s="15" t="s">
        <v>229</v>
      </c>
      <c r="M4" s="15" t="s">
        <v>511</v>
      </c>
    </row>
    <row r="5" spans="1:13" x14ac:dyDescent="0.3">
      <c r="A5" s="15">
        <v>4</v>
      </c>
      <c r="B5" s="15" t="s">
        <v>75</v>
      </c>
      <c r="C5" s="15" t="s">
        <v>512</v>
      </c>
      <c r="D5" s="15" t="s">
        <v>513</v>
      </c>
      <c r="E5" s="15" t="s">
        <v>514</v>
      </c>
      <c r="F5" s="17">
        <v>42583</v>
      </c>
      <c r="G5" s="17">
        <v>42917</v>
      </c>
      <c r="H5" s="15" t="s">
        <v>502</v>
      </c>
      <c r="I5" s="16">
        <v>600</v>
      </c>
      <c r="J5" s="16">
        <v>75000</v>
      </c>
      <c r="K5" s="15" t="s">
        <v>503</v>
      </c>
      <c r="L5" s="15" t="s">
        <v>233</v>
      </c>
      <c r="M5" s="15" t="s">
        <v>515</v>
      </c>
    </row>
    <row r="6" spans="1:13" ht="27.6" x14ac:dyDescent="0.3">
      <c r="A6" s="15">
        <v>5</v>
      </c>
      <c r="B6" s="15" t="s">
        <v>85</v>
      </c>
      <c r="C6" s="15" t="s">
        <v>516</v>
      </c>
      <c r="D6" s="15" t="s">
        <v>47</v>
      </c>
      <c r="E6" s="15" t="s">
        <v>86</v>
      </c>
      <c r="F6" s="17">
        <v>44742</v>
      </c>
      <c r="G6" s="15"/>
      <c r="H6" s="15" t="s">
        <v>502</v>
      </c>
      <c r="I6" s="16">
        <v>10000</v>
      </c>
      <c r="J6" s="16">
        <v>30000</v>
      </c>
      <c r="K6" s="15" t="s">
        <v>239</v>
      </c>
      <c r="L6" s="15" t="s">
        <v>238</v>
      </c>
      <c r="M6" s="15" t="s">
        <v>517</v>
      </c>
    </row>
    <row r="7" spans="1:13" ht="27.6" x14ac:dyDescent="0.3">
      <c r="A7" s="15">
        <v>6</v>
      </c>
      <c r="B7" s="15" t="s">
        <v>35</v>
      </c>
      <c r="C7" s="15" t="s">
        <v>518</v>
      </c>
      <c r="D7" s="15" t="s">
        <v>519</v>
      </c>
      <c r="E7" s="15" t="s">
        <v>89</v>
      </c>
      <c r="F7" s="17">
        <v>46149</v>
      </c>
      <c r="G7" s="15"/>
      <c r="H7" s="15" t="s">
        <v>502</v>
      </c>
      <c r="I7" s="16">
        <v>3000</v>
      </c>
      <c r="J7" s="16">
        <v>20000</v>
      </c>
      <c r="K7" s="15" t="s">
        <v>520</v>
      </c>
      <c r="L7" s="15" t="s">
        <v>219</v>
      </c>
      <c r="M7" s="15" t="s">
        <v>521</v>
      </c>
    </row>
    <row r="8" spans="1:13" x14ac:dyDescent="0.3">
      <c r="A8" s="15">
        <v>7</v>
      </c>
      <c r="B8" s="15" t="s">
        <v>92</v>
      </c>
      <c r="C8" s="15" t="s">
        <v>522</v>
      </c>
      <c r="D8" s="15" t="s">
        <v>523</v>
      </c>
      <c r="E8" s="15" t="s">
        <v>93</v>
      </c>
      <c r="F8" s="17">
        <v>45505</v>
      </c>
      <c r="G8" s="17">
        <v>45838</v>
      </c>
      <c r="H8" s="15" t="s">
        <v>502</v>
      </c>
      <c r="I8" s="16">
        <v>3200</v>
      </c>
      <c r="J8" s="16">
        <v>18000</v>
      </c>
      <c r="K8" s="15" t="s">
        <v>524</v>
      </c>
      <c r="L8" s="15" t="s">
        <v>219</v>
      </c>
      <c r="M8" s="15" t="s">
        <v>525</v>
      </c>
    </row>
    <row r="9" spans="1:13" x14ac:dyDescent="0.3">
      <c r="A9" s="15">
        <v>8</v>
      </c>
      <c r="B9" s="15" t="s">
        <v>97</v>
      </c>
      <c r="C9" s="15" t="s">
        <v>526</v>
      </c>
      <c r="D9" s="15" t="s">
        <v>527</v>
      </c>
      <c r="E9" s="15" t="s">
        <v>98</v>
      </c>
      <c r="F9" s="17">
        <v>44440</v>
      </c>
      <c r="G9" s="17">
        <v>44804</v>
      </c>
      <c r="H9" s="15" t="s">
        <v>502</v>
      </c>
      <c r="I9" s="16">
        <v>3000</v>
      </c>
      <c r="J9" s="16">
        <v>20000</v>
      </c>
      <c r="K9" s="15" t="s">
        <v>503</v>
      </c>
      <c r="L9" s="15" t="s">
        <v>219</v>
      </c>
      <c r="M9" s="15" t="s">
        <v>528</v>
      </c>
    </row>
    <row r="10" spans="1:13" x14ac:dyDescent="0.3">
      <c r="A10" s="15">
        <v>9</v>
      </c>
      <c r="B10" s="15" t="s">
        <v>75</v>
      </c>
      <c r="C10" s="15" t="s">
        <v>529</v>
      </c>
      <c r="D10" s="15" t="s">
        <v>530</v>
      </c>
      <c r="E10" s="15" t="s">
        <v>531</v>
      </c>
      <c r="F10" s="17">
        <v>45398</v>
      </c>
      <c r="G10" s="17">
        <v>45732</v>
      </c>
      <c r="H10" s="15" t="s">
        <v>502</v>
      </c>
      <c r="I10" s="16">
        <v>20000</v>
      </c>
      <c r="J10" s="16">
        <v>125000</v>
      </c>
      <c r="K10" s="15" t="s">
        <v>532</v>
      </c>
      <c r="L10" s="15" t="s">
        <v>219</v>
      </c>
      <c r="M10" s="15" t="s">
        <v>533</v>
      </c>
    </row>
    <row r="11" spans="1:13" x14ac:dyDescent="0.3">
      <c r="A11" s="15">
        <v>10</v>
      </c>
      <c r="B11" s="15" t="s">
        <v>92</v>
      </c>
      <c r="C11" s="15" t="s">
        <v>534</v>
      </c>
      <c r="D11" s="15" t="s">
        <v>535</v>
      </c>
      <c r="E11" s="15" t="s">
        <v>536</v>
      </c>
      <c r="F11" s="17">
        <v>44440</v>
      </c>
      <c r="G11" s="17">
        <v>44804</v>
      </c>
      <c r="H11" s="15" t="s">
        <v>502</v>
      </c>
      <c r="I11" s="16">
        <v>3000</v>
      </c>
      <c r="J11" s="16">
        <v>18000</v>
      </c>
      <c r="K11" s="15" t="s">
        <v>503</v>
      </c>
      <c r="L11" s="15" t="s">
        <v>259</v>
      </c>
      <c r="M11" s="15" t="s">
        <v>537</v>
      </c>
    </row>
    <row r="12" spans="1:13" x14ac:dyDescent="0.3">
      <c r="A12" s="15">
        <v>11</v>
      </c>
      <c r="B12" s="15" t="s">
        <v>38</v>
      </c>
      <c r="C12" s="15" t="s">
        <v>538</v>
      </c>
      <c r="D12" s="15" t="s">
        <v>48</v>
      </c>
      <c r="E12" s="15" t="s">
        <v>101</v>
      </c>
      <c r="F12" s="17">
        <v>46091</v>
      </c>
      <c r="G12" s="15"/>
      <c r="H12" s="15" t="s">
        <v>502</v>
      </c>
      <c r="I12" s="16">
        <v>3000</v>
      </c>
      <c r="J12" s="16">
        <v>15000</v>
      </c>
      <c r="K12" s="15" t="s">
        <v>524</v>
      </c>
      <c r="L12" s="15" t="s">
        <v>219</v>
      </c>
      <c r="M12" s="15" t="s">
        <v>539</v>
      </c>
    </row>
    <row r="13" spans="1:13" x14ac:dyDescent="0.3">
      <c r="A13" s="15">
        <v>12</v>
      </c>
      <c r="B13" s="15" t="s">
        <v>41</v>
      </c>
      <c r="C13" s="15" t="s">
        <v>540</v>
      </c>
      <c r="D13" s="15" t="s">
        <v>47</v>
      </c>
      <c r="E13" s="15" t="s">
        <v>103</v>
      </c>
      <c r="F13" s="17">
        <v>45980</v>
      </c>
      <c r="G13" s="17">
        <v>46314</v>
      </c>
      <c r="H13" s="15" t="s">
        <v>502</v>
      </c>
      <c r="I13" s="16">
        <v>4200</v>
      </c>
      <c r="J13" s="16">
        <v>15000</v>
      </c>
      <c r="K13" s="15" t="s">
        <v>541</v>
      </c>
      <c r="L13" s="15" t="s">
        <v>266</v>
      </c>
      <c r="M13" s="15"/>
    </row>
    <row r="14" spans="1:13" x14ac:dyDescent="0.3">
      <c r="A14" s="15">
        <v>13</v>
      </c>
      <c r="B14" s="15" t="s">
        <v>106</v>
      </c>
      <c r="C14" s="15" t="s">
        <v>542</v>
      </c>
      <c r="D14" s="15" t="s">
        <v>47</v>
      </c>
      <c r="E14" s="15" t="s">
        <v>107</v>
      </c>
      <c r="F14" s="17">
        <v>44803</v>
      </c>
      <c r="G14" s="17">
        <v>45106</v>
      </c>
      <c r="H14" s="15" t="s">
        <v>502</v>
      </c>
      <c r="I14" s="16">
        <v>4000</v>
      </c>
      <c r="J14" s="16">
        <v>20000</v>
      </c>
      <c r="K14" s="15" t="s">
        <v>524</v>
      </c>
      <c r="L14" s="15" t="s">
        <v>219</v>
      </c>
      <c r="M14" s="15" t="s">
        <v>543</v>
      </c>
    </row>
    <row r="15" spans="1:13" x14ac:dyDescent="0.3">
      <c r="A15" s="15">
        <v>14</v>
      </c>
      <c r="B15" s="15" t="s">
        <v>110</v>
      </c>
      <c r="C15" s="15" t="s">
        <v>112</v>
      </c>
      <c r="D15" s="15" t="s">
        <v>544</v>
      </c>
      <c r="E15" s="15" t="s">
        <v>111</v>
      </c>
      <c r="F15" s="17">
        <v>45703</v>
      </c>
      <c r="G15" s="17">
        <v>46037</v>
      </c>
      <c r="H15" s="15" t="s">
        <v>502</v>
      </c>
      <c r="I15" s="16">
        <v>5000</v>
      </c>
      <c r="J15" s="16">
        <v>20000</v>
      </c>
      <c r="K15" s="15" t="s">
        <v>545</v>
      </c>
      <c r="L15" s="15" t="s">
        <v>273</v>
      </c>
      <c r="M15" s="15" t="s">
        <v>546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I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2" customWidth="1"/>
    <col min="4" max="4" width="14" customWidth="1"/>
    <col min="5" max="5" width="30" customWidth="1"/>
    <col min="6" max="6" width="45" customWidth="1"/>
    <col min="7" max="7" width="30" customWidth="1"/>
    <col min="8" max="8" width="50" customWidth="1"/>
    <col min="9" max="9" width="40" customWidth="1"/>
  </cols>
  <sheetData>
    <row r="1" spans="1:9" ht="28.8" x14ac:dyDescent="0.3">
      <c r="A1" s="14" t="s">
        <v>497</v>
      </c>
      <c r="B1" s="14" t="s">
        <v>29</v>
      </c>
      <c r="C1" s="14" t="s">
        <v>547</v>
      </c>
      <c r="D1" s="14" t="s">
        <v>548</v>
      </c>
      <c r="E1" s="14" t="s">
        <v>549</v>
      </c>
      <c r="F1" s="14" t="s">
        <v>550</v>
      </c>
      <c r="G1" s="14" t="s">
        <v>551</v>
      </c>
      <c r="H1" s="14" t="s">
        <v>552</v>
      </c>
      <c r="I1" s="14" t="s">
        <v>67</v>
      </c>
    </row>
    <row r="2" spans="1:9" x14ac:dyDescent="0.3">
      <c r="A2" s="15">
        <v>1</v>
      </c>
      <c r="B2" s="15" t="s">
        <v>69</v>
      </c>
      <c r="C2" s="15" t="s">
        <v>71</v>
      </c>
      <c r="D2" s="15" t="s">
        <v>553</v>
      </c>
      <c r="E2" s="15" t="s">
        <v>554</v>
      </c>
      <c r="F2" s="15"/>
      <c r="G2" s="15" t="s">
        <v>554</v>
      </c>
      <c r="H2" s="15"/>
      <c r="I2" s="15" t="s">
        <v>555</v>
      </c>
    </row>
    <row r="3" spans="1:9" x14ac:dyDescent="0.3">
      <c r="A3" s="15">
        <v>2</v>
      </c>
      <c r="B3" s="15" t="s">
        <v>505</v>
      </c>
      <c r="C3" s="15" t="s">
        <v>77</v>
      </c>
      <c r="D3" s="15" t="s">
        <v>553</v>
      </c>
      <c r="E3" s="15" t="s">
        <v>554</v>
      </c>
      <c r="F3" s="15"/>
      <c r="G3" s="15" t="s">
        <v>556</v>
      </c>
      <c r="H3" s="15" t="s">
        <v>287</v>
      </c>
      <c r="I3" s="15" t="s">
        <v>557</v>
      </c>
    </row>
    <row r="4" spans="1:9" x14ac:dyDescent="0.3">
      <c r="A4" s="15">
        <v>3</v>
      </c>
      <c r="B4" s="15" t="s">
        <v>558</v>
      </c>
      <c r="C4" s="15" t="s">
        <v>82</v>
      </c>
      <c r="D4" s="15" t="s">
        <v>559</v>
      </c>
      <c r="E4" s="15"/>
      <c r="F4" s="15"/>
      <c r="G4" s="15"/>
      <c r="H4" s="15"/>
      <c r="I4" s="15" t="s">
        <v>560</v>
      </c>
    </row>
    <row r="5" spans="1:9" x14ac:dyDescent="0.3">
      <c r="A5" s="15">
        <v>4</v>
      </c>
      <c r="B5" s="15" t="s">
        <v>505</v>
      </c>
      <c r="C5" s="15" t="s">
        <v>112</v>
      </c>
      <c r="D5" s="15" t="s">
        <v>561</v>
      </c>
      <c r="E5" s="15" t="s">
        <v>292</v>
      </c>
      <c r="F5" s="15"/>
      <c r="G5" s="15" t="s">
        <v>296</v>
      </c>
      <c r="H5" s="15"/>
      <c r="I5" s="15"/>
    </row>
    <row r="6" spans="1:9" x14ac:dyDescent="0.3">
      <c r="A6" s="15">
        <v>5</v>
      </c>
      <c r="B6" s="15" t="s">
        <v>562</v>
      </c>
      <c r="C6" s="15" t="s">
        <v>87</v>
      </c>
      <c r="D6" s="15" t="s">
        <v>563</v>
      </c>
      <c r="E6" s="15" t="s">
        <v>298</v>
      </c>
      <c r="F6" s="15" t="s">
        <v>299</v>
      </c>
      <c r="G6" s="15" t="s">
        <v>302</v>
      </c>
      <c r="H6" s="15" t="s">
        <v>564</v>
      </c>
      <c r="I6" s="15"/>
    </row>
    <row r="7" spans="1:9" x14ac:dyDescent="0.3">
      <c r="A7" s="15">
        <v>6</v>
      </c>
      <c r="B7" s="15" t="s">
        <v>565</v>
      </c>
      <c r="C7" s="15" t="s">
        <v>36</v>
      </c>
      <c r="D7" s="15" t="s">
        <v>566</v>
      </c>
      <c r="E7" s="15" t="s">
        <v>567</v>
      </c>
      <c r="F7" s="15" t="s">
        <v>306</v>
      </c>
      <c r="G7" s="15" t="s">
        <v>310</v>
      </c>
      <c r="H7" s="15" t="s">
        <v>311</v>
      </c>
      <c r="I7" s="15" t="s">
        <v>568</v>
      </c>
    </row>
    <row r="8" spans="1:9" x14ac:dyDescent="0.3">
      <c r="A8" s="15">
        <v>7</v>
      </c>
      <c r="B8" s="15" t="s">
        <v>92</v>
      </c>
      <c r="C8" s="15" t="s">
        <v>94</v>
      </c>
      <c r="D8" s="15" t="s">
        <v>569</v>
      </c>
      <c r="E8" s="15" t="s">
        <v>554</v>
      </c>
      <c r="F8" s="15"/>
      <c r="G8" s="15" t="s">
        <v>554</v>
      </c>
      <c r="H8" s="15"/>
      <c r="I8" s="15" t="s">
        <v>570</v>
      </c>
    </row>
    <row r="9" spans="1:9" x14ac:dyDescent="0.3">
      <c r="A9" s="15">
        <v>8</v>
      </c>
      <c r="B9" s="15" t="s">
        <v>97</v>
      </c>
      <c r="C9" s="15" t="s">
        <v>99</v>
      </c>
      <c r="D9" s="15" t="s">
        <v>553</v>
      </c>
      <c r="E9" s="15" t="s">
        <v>313</v>
      </c>
      <c r="F9" s="15" t="s">
        <v>314</v>
      </c>
      <c r="G9" s="15" t="s">
        <v>571</v>
      </c>
      <c r="H9" s="15" t="s">
        <v>317</v>
      </c>
      <c r="I9" s="15"/>
    </row>
    <row r="10" spans="1:9" x14ac:dyDescent="0.3">
      <c r="A10" s="15">
        <v>9</v>
      </c>
      <c r="B10" s="15" t="s">
        <v>505</v>
      </c>
      <c r="C10" s="15" t="s">
        <v>77</v>
      </c>
      <c r="D10" s="15" t="s">
        <v>569</v>
      </c>
      <c r="E10" s="15" t="s">
        <v>572</v>
      </c>
      <c r="F10" s="15"/>
      <c r="G10" s="15" t="s">
        <v>572</v>
      </c>
      <c r="H10" s="15"/>
      <c r="I10" s="15" t="s">
        <v>573</v>
      </c>
    </row>
    <row r="11" spans="1:9" x14ac:dyDescent="0.3">
      <c r="A11" s="15">
        <v>10</v>
      </c>
      <c r="B11" s="15" t="s">
        <v>92</v>
      </c>
      <c r="C11" s="15" t="s">
        <v>258</v>
      </c>
      <c r="D11" s="15" t="s">
        <v>553</v>
      </c>
      <c r="E11" s="15"/>
      <c r="F11" s="15"/>
      <c r="G11" s="15"/>
      <c r="H11" s="15"/>
      <c r="I11" s="15" t="s">
        <v>560</v>
      </c>
    </row>
    <row r="12" spans="1:9" x14ac:dyDescent="0.3">
      <c r="A12" s="15">
        <v>11</v>
      </c>
      <c r="B12" s="15" t="s">
        <v>38</v>
      </c>
      <c r="C12" s="15" t="s">
        <v>39</v>
      </c>
      <c r="D12" s="15" t="s">
        <v>566</v>
      </c>
      <c r="E12" s="15" t="s">
        <v>320</v>
      </c>
      <c r="F12" s="15"/>
      <c r="G12" s="15" t="s">
        <v>324</v>
      </c>
      <c r="H12" s="15"/>
      <c r="I12" s="15"/>
    </row>
    <row r="13" spans="1:9" x14ac:dyDescent="0.3">
      <c r="A13" s="15">
        <v>12</v>
      </c>
      <c r="B13" s="15" t="s">
        <v>41</v>
      </c>
      <c r="C13" s="15" t="s">
        <v>42</v>
      </c>
      <c r="D13" s="15" t="s">
        <v>574</v>
      </c>
      <c r="E13" s="15" t="s">
        <v>554</v>
      </c>
      <c r="F13" s="15"/>
      <c r="G13" s="15" t="s">
        <v>554</v>
      </c>
      <c r="H13" s="15"/>
      <c r="I13" s="15" t="s">
        <v>570</v>
      </c>
    </row>
    <row r="14" spans="1:9" x14ac:dyDescent="0.3">
      <c r="A14" s="15">
        <v>13</v>
      </c>
      <c r="B14" s="15" t="s">
        <v>106</v>
      </c>
      <c r="C14" s="15" t="s">
        <v>42</v>
      </c>
      <c r="D14" s="15" t="s">
        <v>563</v>
      </c>
      <c r="E14" s="15" t="s">
        <v>327</v>
      </c>
      <c r="F14" s="15" t="s">
        <v>328</v>
      </c>
      <c r="G14" s="15" t="s">
        <v>331</v>
      </c>
      <c r="H14" s="15" t="s">
        <v>332</v>
      </c>
      <c r="I14" s="15"/>
    </row>
    <row r="15" spans="1:9" x14ac:dyDescent="0.3">
      <c r="A15" s="15">
        <v>14</v>
      </c>
      <c r="B15" s="15" t="s">
        <v>575</v>
      </c>
      <c r="C15" s="15" t="s">
        <v>112</v>
      </c>
      <c r="D15" s="15" t="s">
        <v>574</v>
      </c>
      <c r="E15" s="15" t="s">
        <v>333</v>
      </c>
      <c r="F15" s="15"/>
      <c r="G15" s="15" t="s">
        <v>554</v>
      </c>
      <c r="H15" s="15"/>
      <c r="I15" s="15" t="s">
        <v>576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Tenant Master</vt:lpstr>
      <vt:lpstr>Units &amp; Building</vt:lpstr>
      <vt:lpstr>Residence History</vt:lpstr>
      <vt:lpstr>Rent Collection</vt:lpstr>
      <vt:lpstr>Rental Agreements</vt:lpstr>
      <vt:lpstr>Witness Records</vt:lpstr>
      <vt:lpstr>Deposits &amp; Advances</vt:lpstr>
      <vt:lpstr>Utilities &amp; Charges</vt:lpstr>
      <vt:lpstr>Building Expenses</vt:lpstr>
      <vt:lpstr>Tenant History Summary</vt:lpstr>
      <vt:lpstr>Data Review &amp; Issues</vt:lpstr>
      <vt:lpstr>RAW_RENT_DATA</vt:lpstr>
      <vt:lpstr>RAW_WITNESS_DATA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Shahir</cp:lastModifiedBy>
  <dcterms:created xsi:type="dcterms:W3CDTF">2026-08-28T15:07:13Z</dcterms:created>
  <dcterms:modified xsi:type="dcterms:W3CDTF">2026-08-28T15:09:48Z</dcterms:modified>
</cp:coreProperties>
</file>